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ukzi\Documents\Aa\Aa\Data Analyst\"/>
    </mc:Choice>
  </mc:AlternateContent>
  <xr:revisionPtr revIDLastSave="0" documentId="13_ncr:1_{844A613D-C1AF-4791-9F15-74047F6C0896}" xr6:coauthVersionLast="47" xr6:coauthVersionMax="47" xr10:uidLastSave="{00000000-0000-0000-0000-000000000000}"/>
  <bookViews>
    <workbookView xWindow="38280" yWindow="-120" windowWidth="29040" windowHeight="16440" tabRatio="500" xr2:uid="{00000000-000D-0000-FFFF-FFFF00000000}"/>
  </bookViews>
  <sheets>
    <sheet name="Dashboard" sheetId="1" r:id="rId1"/>
    <sheet name="Data" sheetId="2" r:id="rId2"/>
    <sheet name="Calc" sheetId="3" r:id="rId3"/>
    <sheet name="Lists" sheetId="4" r:id="rId4"/>
  </sheets>
  <definedNames>
    <definedName name="_xlnm._FilterDatabase" localSheetId="1" hidden="1">Data!$A$1:$N$1801</definedName>
    <definedName name="d_clk">Data!$G:$G</definedName>
    <definedName name="d_conv">Data!$K:$K</definedName>
    <definedName name="d_ctry">Data!$E:$E</definedName>
    <definedName name="d_date">Data!$A:$A</definedName>
    <definedName name="d_imp">Data!$F:$F</definedName>
    <definedName name="d_ind">Data!$D:$D</definedName>
    <definedName name="d_plat">Data!$B:$B</definedName>
    <definedName name="d_rev">Data!$M:$M</definedName>
    <definedName name="d_spend">Data!$J:$J</definedName>
    <definedName name="d_type">Data!$C:$C</definedName>
    <definedName name="_xlnm.Print_Area" localSheetId="0">Dashboard!$A$1:$BM$49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2" i="4" l="1"/>
  <c r="B22" i="4"/>
  <c r="C21" i="4"/>
  <c r="B21" i="4"/>
  <c r="C20" i="4"/>
  <c r="B20" i="4"/>
  <c r="C19" i="4"/>
  <c r="B19" i="4"/>
  <c r="C18" i="4"/>
  <c r="B18" i="4"/>
  <c r="C17" i="4"/>
  <c r="B17" i="4"/>
  <c r="C16" i="4"/>
  <c r="B16" i="4"/>
  <c r="C15" i="4"/>
  <c r="B15" i="4"/>
  <c r="C14" i="4"/>
  <c r="B14" i="4"/>
  <c r="C13" i="4"/>
  <c r="B13" i="4"/>
  <c r="C12" i="4"/>
  <c r="B12" i="4"/>
  <c r="C11" i="4"/>
  <c r="B11" i="4"/>
  <c r="C10" i="4"/>
  <c r="B10" i="4"/>
  <c r="C9" i="4"/>
  <c r="B9" i="4"/>
  <c r="C8" i="4"/>
  <c r="B8" i="4"/>
  <c r="C7" i="4"/>
  <c r="B7" i="4"/>
  <c r="C6" i="4"/>
  <c r="B6" i="4"/>
  <c r="C5" i="4"/>
  <c r="B5" i="4"/>
  <c r="C4" i="4"/>
  <c r="B4" i="4"/>
  <c r="B1" i="4"/>
  <c r="C83" i="3"/>
  <c r="B83" i="3"/>
  <c r="A83" i="3"/>
  <c r="C82" i="3"/>
  <c r="B82" i="3"/>
  <c r="A82" i="3"/>
  <c r="C81" i="3"/>
  <c r="B81" i="3"/>
  <c r="A81" i="3"/>
  <c r="C80" i="3"/>
  <c r="B80" i="3"/>
  <c r="A80" i="3"/>
  <c r="C79" i="3"/>
  <c r="B79" i="3"/>
  <c r="A79" i="3"/>
  <c r="C78" i="3"/>
  <c r="B78" i="3"/>
  <c r="A78" i="3"/>
  <c r="C77" i="3"/>
  <c r="B77" i="3"/>
  <c r="A77" i="3"/>
  <c r="C76" i="3"/>
  <c r="B76" i="3"/>
  <c r="A76" i="3"/>
  <c r="C75" i="3"/>
  <c r="B75" i="3"/>
  <c r="A75" i="3"/>
  <c r="C74" i="3"/>
  <c r="B74" i="3"/>
  <c r="A74" i="3"/>
  <c r="C73" i="3"/>
  <c r="B73" i="3"/>
  <c r="A73" i="3"/>
  <c r="C72" i="3"/>
  <c r="B72" i="3"/>
  <c r="A72" i="3"/>
  <c r="B7" i="3"/>
  <c r="C7" i="3" s="1"/>
  <c r="B6" i="3"/>
  <c r="C6" i="3" s="1"/>
  <c r="C5" i="3"/>
  <c r="B5" i="3"/>
  <c r="B4" i="3"/>
  <c r="C4" i="3" s="1"/>
  <c r="B3" i="3"/>
  <c r="B10" i="3" s="1"/>
  <c r="B9" i="3" l="1"/>
  <c r="B45" i="3" s="1"/>
  <c r="B12" i="3"/>
  <c r="B13" i="3"/>
  <c r="B15" i="3"/>
  <c r="E77" i="3"/>
  <c r="E294" i="3"/>
  <c r="F294" i="3" s="1"/>
  <c r="E286" i="3"/>
  <c r="F286" i="3" s="1"/>
  <c r="E270" i="3"/>
  <c r="F270" i="3" s="1"/>
  <c r="E174" i="3"/>
  <c r="F174" i="3" s="1"/>
  <c r="E80" i="3"/>
  <c r="D77" i="3"/>
  <c r="E437" i="3"/>
  <c r="F437" i="3" s="1"/>
  <c r="E413" i="3"/>
  <c r="F413" i="3" s="1"/>
  <c r="E397" i="3"/>
  <c r="F397" i="3" s="1"/>
  <c r="E389" i="3"/>
  <c r="F389" i="3" s="1"/>
  <c r="E381" i="3"/>
  <c r="F381" i="3" s="1"/>
  <c r="E365" i="3"/>
  <c r="F365" i="3" s="1"/>
  <c r="E253" i="3"/>
  <c r="F253" i="3" s="1"/>
  <c r="E141" i="3"/>
  <c r="F141" i="3" s="1"/>
  <c r="E133" i="3"/>
  <c r="F133" i="3" s="1"/>
  <c r="E125" i="3"/>
  <c r="F125" i="3" s="1"/>
  <c r="E109" i="3"/>
  <c r="F109" i="3" s="1"/>
  <c r="D83" i="3"/>
  <c r="C23" i="3"/>
  <c r="E436" i="3"/>
  <c r="F436" i="3" s="1"/>
  <c r="E364" i="3"/>
  <c r="F364" i="3" s="1"/>
  <c r="E340" i="3"/>
  <c r="F340" i="3" s="1"/>
  <c r="E324" i="3"/>
  <c r="F324" i="3" s="1"/>
  <c r="E316" i="3"/>
  <c r="F316" i="3" s="1"/>
  <c r="E308" i="3"/>
  <c r="F308" i="3" s="1"/>
  <c r="E292" i="3"/>
  <c r="F292" i="3" s="1"/>
  <c r="E196" i="3"/>
  <c r="F196" i="3" s="1"/>
  <c r="E132" i="3"/>
  <c r="F132" i="3" s="1"/>
  <c r="E116" i="3"/>
  <c r="F116" i="3" s="1"/>
  <c r="E108" i="3"/>
  <c r="F108" i="3" s="1"/>
  <c r="E73" i="3"/>
  <c r="B66" i="3"/>
  <c r="B23" i="3"/>
  <c r="E76" i="3"/>
  <c r="D73" i="3"/>
  <c r="E483" i="3"/>
  <c r="F483" i="3" s="1"/>
  <c r="E419" i="3"/>
  <c r="F419" i="3" s="1"/>
  <c r="E411" i="3"/>
  <c r="F411" i="3" s="1"/>
  <c r="E403" i="3"/>
  <c r="F403" i="3" s="1"/>
  <c r="E395" i="3"/>
  <c r="F395" i="3" s="1"/>
  <c r="E387" i="3"/>
  <c r="F387" i="3" s="1"/>
  <c r="E379" i="3"/>
  <c r="F379" i="3" s="1"/>
  <c r="E291" i="3"/>
  <c r="F291" i="3" s="1"/>
  <c r="E251" i="3"/>
  <c r="F251" i="3" s="1"/>
  <c r="E227" i="3"/>
  <c r="F227" i="3" s="1"/>
  <c r="E211" i="3"/>
  <c r="F211" i="3" s="1"/>
  <c r="E203" i="3"/>
  <c r="F203" i="3" s="1"/>
  <c r="E187" i="3"/>
  <c r="F187" i="3" s="1"/>
  <c r="E179" i="3"/>
  <c r="F179" i="3" s="1"/>
  <c r="E123" i="3"/>
  <c r="F123" i="3" s="1"/>
  <c r="E79" i="3"/>
  <c r="D76" i="3"/>
  <c r="E82" i="3"/>
  <c r="D79" i="3"/>
  <c r="C65" i="3"/>
  <c r="E506" i="3"/>
  <c r="F506" i="3" s="1"/>
  <c r="E498" i="3"/>
  <c r="F498" i="3" s="1"/>
  <c r="E490" i="3"/>
  <c r="F490" i="3" s="1"/>
  <c r="E482" i="3"/>
  <c r="F482" i="3" s="1"/>
  <c r="E442" i="3"/>
  <c r="F442" i="3" s="1"/>
  <c r="E418" i="3"/>
  <c r="F418" i="3" s="1"/>
  <c r="E410" i="3"/>
  <c r="F410" i="3" s="1"/>
  <c r="E370" i="3"/>
  <c r="F370" i="3" s="1"/>
  <c r="E362" i="3"/>
  <c r="F362" i="3" s="1"/>
  <c r="E354" i="3"/>
  <c r="F354" i="3" s="1"/>
  <c r="E346" i="3"/>
  <c r="F346" i="3" s="1"/>
  <c r="E338" i="3"/>
  <c r="F338" i="3" s="1"/>
  <c r="E314" i="3"/>
  <c r="F314" i="3" s="1"/>
  <c r="E290" i="3"/>
  <c r="F290" i="3" s="1"/>
  <c r="E266" i="3"/>
  <c r="F266" i="3" s="1"/>
  <c r="E250" i="3"/>
  <c r="F250" i="3" s="1"/>
  <c r="E218" i="3"/>
  <c r="F218" i="3" s="1"/>
  <c r="E210" i="3"/>
  <c r="F210" i="3" s="1"/>
  <c r="E186" i="3"/>
  <c r="F186" i="3" s="1"/>
  <c r="E178" i="3"/>
  <c r="F178" i="3" s="1"/>
  <c r="E170" i="3"/>
  <c r="F170" i="3" s="1"/>
  <c r="E162" i="3"/>
  <c r="F162" i="3" s="1"/>
  <c r="E138" i="3"/>
  <c r="F138" i="3" s="1"/>
  <c r="E106" i="3"/>
  <c r="F106" i="3" s="1"/>
  <c r="E99" i="3"/>
  <c r="F99" i="3" s="1"/>
  <c r="D82" i="3"/>
  <c r="C52" i="3"/>
  <c r="C22" i="3"/>
  <c r="E72" i="3"/>
  <c r="B58" i="3"/>
  <c r="B56" i="3"/>
  <c r="B52" i="3"/>
  <c r="C25" i="3"/>
  <c r="E489" i="3"/>
  <c r="F489" i="3" s="1"/>
  <c r="E481" i="3"/>
  <c r="F481" i="3" s="1"/>
  <c r="E449" i="3"/>
  <c r="F449" i="3" s="1"/>
  <c r="E441" i="3"/>
  <c r="F441" i="3" s="1"/>
  <c r="E425" i="3"/>
  <c r="F425" i="3" s="1"/>
  <c r="E417" i="3"/>
  <c r="F417" i="3" s="1"/>
  <c r="E409" i="3"/>
  <c r="F409" i="3" s="1"/>
  <c r="E401" i="3"/>
  <c r="F401" i="3" s="1"/>
  <c r="E361" i="3"/>
  <c r="F361" i="3" s="1"/>
  <c r="E337" i="3"/>
  <c r="F337" i="3" s="1"/>
  <c r="E329" i="3"/>
  <c r="F329" i="3" s="1"/>
  <c r="E289" i="3"/>
  <c r="F289" i="3" s="1"/>
  <c r="E281" i="3"/>
  <c r="F281" i="3" s="1"/>
  <c r="E273" i="3"/>
  <c r="F273" i="3" s="1"/>
  <c r="E265" i="3"/>
  <c r="F265" i="3" s="1"/>
  <c r="E257" i="3"/>
  <c r="F257" i="3" s="1"/>
  <c r="E233" i="3"/>
  <c r="F233" i="3" s="1"/>
  <c r="E209" i="3"/>
  <c r="F209" i="3" s="1"/>
  <c r="E193" i="3"/>
  <c r="F193" i="3" s="1"/>
  <c r="E185" i="3"/>
  <c r="F185" i="3" s="1"/>
  <c r="E169" i="3"/>
  <c r="F169" i="3" s="1"/>
  <c r="E137" i="3"/>
  <c r="F137" i="3" s="1"/>
  <c r="E129" i="3"/>
  <c r="F129" i="3" s="1"/>
  <c r="E105" i="3"/>
  <c r="F105" i="3" s="1"/>
  <c r="E75" i="3"/>
  <c r="D72" i="3"/>
  <c r="B46" i="3"/>
  <c r="B25" i="3"/>
  <c r="E78" i="3"/>
  <c r="D75" i="3"/>
  <c r="C64" i="3"/>
  <c r="C34" i="3"/>
  <c r="E472" i="3"/>
  <c r="F472" i="3" s="1"/>
  <c r="E464" i="3"/>
  <c r="F464" i="3" s="1"/>
  <c r="E456" i="3"/>
  <c r="F456" i="3" s="1"/>
  <c r="E448" i="3"/>
  <c r="F448" i="3" s="1"/>
  <c r="E440" i="3"/>
  <c r="F440" i="3" s="1"/>
  <c r="E432" i="3"/>
  <c r="F432" i="3" s="1"/>
  <c r="E408" i="3"/>
  <c r="F408" i="3" s="1"/>
  <c r="E392" i="3"/>
  <c r="F392" i="3" s="1"/>
  <c r="E384" i="3"/>
  <c r="F384" i="3" s="1"/>
  <c r="E368" i="3"/>
  <c r="F368" i="3" s="1"/>
  <c r="E336" i="3"/>
  <c r="F336" i="3" s="1"/>
  <c r="E328" i="3"/>
  <c r="F328" i="3" s="1"/>
  <c r="E320" i="3"/>
  <c r="F320" i="3" s="1"/>
  <c r="E312" i="3"/>
  <c r="F312" i="3" s="1"/>
  <c r="E304" i="3"/>
  <c r="F304" i="3" s="1"/>
  <c r="E296" i="3"/>
  <c r="F296" i="3" s="1"/>
  <c r="E272" i="3"/>
  <c r="F272" i="3" s="1"/>
  <c r="E256" i="3"/>
  <c r="F256" i="3" s="1"/>
  <c r="E240" i="3"/>
  <c r="F240" i="3" s="1"/>
  <c r="E232" i="3"/>
  <c r="F232" i="3" s="1"/>
  <c r="E200" i="3"/>
  <c r="F200" i="3" s="1"/>
  <c r="E192" i="3"/>
  <c r="F192" i="3" s="1"/>
  <c r="E184" i="3"/>
  <c r="F184" i="3" s="1"/>
  <c r="E176" i="3"/>
  <c r="F176" i="3" s="1"/>
  <c r="E168" i="3"/>
  <c r="F168" i="3" s="1"/>
  <c r="E160" i="3"/>
  <c r="F160" i="3" s="1"/>
  <c r="E136" i="3"/>
  <c r="F136" i="3" s="1"/>
  <c r="E112" i="3"/>
  <c r="F112" i="3" s="1"/>
  <c r="E95" i="3"/>
  <c r="F95" i="3" s="1"/>
  <c r="E81" i="3"/>
  <c r="D78" i="3"/>
  <c r="B34" i="3"/>
  <c r="C21" i="3"/>
  <c r="D81" i="3"/>
  <c r="C36" i="3"/>
  <c r="B21" i="3"/>
  <c r="E511" i="3"/>
  <c r="F511" i="3" s="1"/>
  <c r="E495" i="3"/>
  <c r="F495" i="3" s="1"/>
  <c r="E479" i="3"/>
  <c r="F479" i="3" s="1"/>
  <c r="E463" i="3"/>
  <c r="F463" i="3" s="1"/>
  <c r="E455" i="3"/>
  <c r="F455" i="3" s="1"/>
  <c r="E447" i="3"/>
  <c r="F447" i="3" s="1"/>
  <c r="E415" i="3"/>
  <c r="F415" i="3" s="1"/>
  <c r="E407" i="3"/>
  <c r="F407" i="3" s="1"/>
  <c r="E399" i="3"/>
  <c r="F399" i="3" s="1"/>
  <c r="E391" i="3"/>
  <c r="F391" i="3" s="1"/>
  <c r="E383" i="3"/>
  <c r="F383" i="3" s="1"/>
  <c r="E375" i="3"/>
  <c r="F375" i="3" s="1"/>
  <c r="E343" i="3"/>
  <c r="F343" i="3" s="1"/>
  <c r="E327" i="3"/>
  <c r="F327" i="3" s="1"/>
  <c r="E319" i="3"/>
  <c r="F319" i="3" s="1"/>
  <c r="E311" i="3"/>
  <c r="F311" i="3" s="1"/>
  <c r="E279" i="3"/>
  <c r="F279" i="3" s="1"/>
  <c r="E271" i="3"/>
  <c r="F271" i="3" s="1"/>
  <c r="E263" i="3"/>
  <c r="F263" i="3" s="1"/>
  <c r="E255" i="3"/>
  <c r="F255" i="3" s="1"/>
  <c r="E247" i="3"/>
  <c r="F247" i="3" s="1"/>
  <c r="E239" i="3"/>
  <c r="F239" i="3" s="1"/>
  <c r="E215" i="3"/>
  <c r="F215" i="3" s="1"/>
  <c r="E199" i="3"/>
  <c r="F199" i="3" s="1"/>
  <c r="E191" i="3"/>
  <c r="F191" i="3" s="1"/>
  <c r="E183" i="3"/>
  <c r="F183" i="3" s="1"/>
  <c r="E151" i="3"/>
  <c r="F151" i="3" s="1"/>
  <c r="E143" i="3"/>
  <c r="F143" i="3" s="1"/>
  <c r="E135" i="3"/>
  <c r="F135" i="3" s="1"/>
  <c r="E127" i="3"/>
  <c r="F127" i="3" s="1"/>
  <c r="E119" i="3"/>
  <c r="F119" i="3" s="1"/>
  <c r="E111" i="3"/>
  <c r="F111" i="3" s="1"/>
  <c r="B36" i="3"/>
  <c r="C24" i="3"/>
  <c r="E74" i="3"/>
  <c r="C63" i="3"/>
  <c r="B24" i="3"/>
  <c r="F10" i="1" s="1"/>
  <c r="E83" i="3"/>
  <c r="C55" i="3"/>
  <c r="D74" i="3"/>
  <c r="B63" i="3"/>
  <c r="D80" i="3"/>
  <c r="E159" i="3" l="1"/>
  <c r="F159" i="3" s="1"/>
  <c r="E423" i="3"/>
  <c r="F423" i="3" s="1"/>
  <c r="D36" i="3"/>
  <c r="E344" i="3"/>
  <c r="F344" i="3" s="1"/>
  <c r="E480" i="3"/>
  <c r="F480" i="3" s="1"/>
  <c r="E145" i="3"/>
  <c r="F145" i="3" s="1"/>
  <c r="E297" i="3"/>
  <c r="F297" i="3" s="1"/>
  <c r="E457" i="3"/>
  <c r="F457" i="3" s="1"/>
  <c r="C54" i="3"/>
  <c r="E226" i="3"/>
  <c r="F226" i="3" s="1"/>
  <c r="E378" i="3"/>
  <c r="F378" i="3" s="1"/>
  <c r="E259" i="3"/>
  <c r="F259" i="3" s="1"/>
  <c r="E435" i="3"/>
  <c r="F435" i="3" s="1"/>
  <c r="E156" i="3"/>
  <c r="F156" i="3" s="1"/>
  <c r="E372" i="3"/>
  <c r="F372" i="3" s="1"/>
  <c r="E157" i="3"/>
  <c r="F157" i="3" s="1"/>
  <c r="E445" i="3"/>
  <c r="F445" i="3" s="1"/>
  <c r="E302" i="3"/>
  <c r="F302" i="3" s="1"/>
  <c r="E167" i="3"/>
  <c r="F167" i="3" s="1"/>
  <c r="E295" i="3"/>
  <c r="F295" i="3" s="1"/>
  <c r="E431" i="3"/>
  <c r="F431" i="3" s="1"/>
  <c r="B64" i="3"/>
  <c r="E216" i="3"/>
  <c r="F216" i="3" s="1"/>
  <c r="E352" i="3"/>
  <c r="F352" i="3" s="1"/>
  <c r="E488" i="3"/>
  <c r="F488" i="3" s="1"/>
  <c r="E153" i="3"/>
  <c r="F153" i="3" s="1"/>
  <c r="E313" i="3"/>
  <c r="F313" i="3" s="1"/>
  <c r="E465" i="3"/>
  <c r="F465" i="3" s="1"/>
  <c r="B65" i="3"/>
  <c r="D65" i="3" s="1"/>
  <c r="E65" i="3" s="1"/>
  <c r="E234" i="3"/>
  <c r="F234" i="3" s="1"/>
  <c r="E394" i="3"/>
  <c r="F394" i="3" s="1"/>
  <c r="E104" i="3"/>
  <c r="F104" i="3" s="1"/>
  <c r="E267" i="3"/>
  <c r="F267" i="3" s="1"/>
  <c r="E443" i="3"/>
  <c r="F443" i="3" s="1"/>
  <c r="E164" i="3"/>
  <c r="F164" i="3" s="1"/>
  <c r="E388" i="3"/>
  <c r="F388" i="3" s="1"/>
  <c r="E181" i="3"/>
  <c r="F181" i="3" s="1"/>
  <c r="E493" i="3"/>
  <c r="F493" i="3" s="1"/>
  <c r="E318" i="3"/>
  <c r="F318" i="3" s="1"/>
  <c r="E287" i="3"/>
  <c r="F287" i="3" s="1"/>
  <c r="E208" i="3"/>
  <c r="F208" i="3" s="1"/>
  <c r="C53" i="3"/>
  <c r="E175" i="3"/>
  <c r="F175" i="3" s="1"/>
  <c r="E303" i="3"/>
  <c r="F303" i="3" s="1"/>
  <c r="E439" i="3"/>
  <c r="F439" i="3" s="1"/>
  <c r="E224" i="3"/>
  <c r="F224" i="3" s="1"/>
  <c r="E360" i="3"/>
  <c r="F360" i="3" s="1"/>
  <c r="E512" i="3"/>
  <c r="F512" i="3" s="1"/>
  <c r="E161" i="3"/>
  <c r="F161" i="3" s="1"/>
  <c r="E321" i="3"/>
  <c r="F321" i="3" s="1"/>
  <c r="E473" i="3"/>
  <c r="F473" i="3" s="1"/>
  <c r="E242" i="3"/>
  <c r="F242" i="3" s="1"/>
  <c r="E402" i="3"/>
  <c r="F402" i="3" s="1"/>
  <c r="E275" i="3"/>
  <c r="F275" i="3" s="1"/>
  <c r="E459" i="3"/>
  <c r="F459" i="3" s="1"/>
  <c r="E180" i="3"/>
  <c r="F180" i="3" s="1"/>
  <c r="E412" i="3"/>
  <c r="F412" i="3" s="1"/>
  <c r="E189" i="3"/>
  <c r="F189" i="3" s="1"/>
  <c r="E509" i="3"/>
  <c r="F509" i="3" s="1"/>
  <c r="E398" i="3"/>
  <c r="F398" i="3" s="1"/>
  <c r="E283" i="3"/>
  <c r="F283" i="3" s="1"/>
  <c r="E467" i="3"/>
  <c r="F467" i="3" s="1"/>
  <c r="E188" i="3"/>
  <c r="F188" i="3" s="1"/>
  <c r="E420" i="3"/>
  <c r="F420" i="3" s="1"/>
  <c r="E237" i="3"/>
  <c r="F237" i="3" s="1"/>
  <c r="C43" i="3"/>
  <c r="E414" i="3"/>
  <c r="F414" i="3" s="1"/>
  <c r="C45" i="3"/>
  <c r="E422" i="3"/>
  <c r="F422" i="3" s="1"/>
  <c r="E274" i="3"/>
  <c r="F274" i="3" s="1"/>
  <c r="E212" i="3"/>
  <c r="F212" i="3" s="1"/>
  <c r="E430" i="3"/>
  <c r="F430" i="3" s="1"/>
  <c r="E345" i="3"/>
  <c r="F345" i="3" s="1"/>
  <c r="E513" i="3"/>
  <c r="F513" i="3" s="1"/>
  <c r="E114" i="3"/>
  <c r="F114" i="3" s="1"/>
  <c r="E426" i="3"/>
  <c r="F426" i="3" s="1"/>
  <c r="E131" i="3"/>
  <c r="F131" i="3" s="1"/>
  <c r="E307" i="3"/>
  <c r="F307" i="3" s="1"/>
  <c r="E507" i="3"/>
  <c r="F507" i="3" s="1"/>
  <c r="E444" i="3"/>
  <c r="F444" i="3" s="1"/>
  <c r="E261" i="3"/>
  <c r="F261" i="3" s="1"/>
  <c r="B53" i="3"/>
  <c r="E96" i="3"/>
  <c r="F96" i="3" s="1"/>
  <c r="E207" i="3"/>
  <c r="F207" i="3" s="1"/>
  <c r="E335" i="3"/>
  <c r="F335" i="3" s="1"/>
  <c r="E471" i="3"/>
  <c r="F471" i="3" s="1"/>
  <c r="E128" i="3"/>
  <c r="F128" i="3" s="1"/>
  <c r="E264" i="3"/>
  <c r="F264" i="3" s="1"/>
  <c r="E400" i="3"/>
  <c r="F400" i="3" s="1"/>
  <c r="E201" i="3"/>
  <c r="F201" i="3" s="1"/>
  <c r="E353" i="3"/>
  <c r="F353" i="3" s="1"/>
  <c r="B22" i="3"/>
  <c r="B26" i="3" s="1"/>
  <c r="E122" i="3"/>
  <c r="F122" i="3" s="1"/>
  <c r="E282" i="3"/>
  <c r="F282" i="3" s="1"/>
  <c r="E434" i="3"/>
  <c r="F434" i="3" s="1"/>
  <c r="E139" i="3"/>
  <c r="F139" i="3" s="1"/>
  <c r="E315" i="3"/>
  <c r="F315" i="3" s="1"/>
  <c r="B35" i="3"/>
  <c r="E236" i="3"/>
  <c r="F236" i="3" s="1"/>
  <c r="E452" i="3"/>
  <c r="F452" i="3" s="1"/>
  <c r="E269" i="3"/>
  <c r="F269" i="3" s="1"/>
  <c r="E147" i="3"/>
  <c r="F147" i="3" s="1"/>
  <c r="E331" i="3"/>
  <c r="F331" i="3" s="1"/>
  <c r="E244" i="3"/>
  <c r="F244" i="3" s="1"/>
  <c r="E468" i="3"/>
  <c r="F468" i="3" s="1"/>
  <c r="E285" i="3"/>
  <c r="F285" i="3" s="1"/>
  <c r="E97" i="3"/>
  <c r="F97" i="3" s="1"/>
  <c r="E223" i="3"/>
  <c r="F223" i="3" s="1"/>
  <c r="E351" i="3"/>
  <c r="F351" i="3" s="1"/>
  <c r="E144" i="3"/>
  <c r="F144" i="3" s="1"/>
  <c r="E280" i="3"/>
  <c r="F280" i="3" s="1"/>
  <c r="E416" i="3"/>
  <c r="F416" i="3" s="1"/>
  <c r="D34" i="3"/>
  <c r="E217" i="3"/>
  <c r="F217" i="3" s="1"/>
  <c r="E385" i="3"/>
  <c r="F385" i="3" s="1"/>
  <c r="C44" i="3"/>
  <c r="E146" i="3"/>
  <c r="F146" i="3" s="1"/>
  <c r="E298" i="3"/>
  <c r="F298" i="3" s="1"/>
  <c r="E466" i="3"/>
  <c r="F466" i="3" s="1"/>
  <c r="E155" i="3"/>
  <c r="F155" i="3" s="1"/>
  <c r="E339" i="3"/>
  <c r="F339" i="3" s="1"/>
  <c r="E260" i="3"/>
  <c r="F260" i="3" s="1"/>
  <c r="E492" i="3"/>
  <c r="F492" i="3" s="1"/>
  <c r="E309" i="3"/>
  <c r="F309" i="3" s="1"/>
  <c r="E142" i="3"/>
  <c r="F142" i="3" s="1"/>
  <c r="C57" i="3"/>
  <c r="E101" i="3"/>
  <c r="F101" i="3" s="1"/>
  <c r="E231" i="3"/>
  <c r="F231" i="3" s="1"/>
  <c r="E367" i="3"/>
  <c r="F367" i="3" s="1"/>
  <c r="E503" i="3"/>
  <c r="F503" i="3" s="1"/>
  <c r="E152" i="3"/>
  <c r="F152" i="3" s="1"/>
  <c r="E288" i="3"/>
  <c r="F288" i="3" s="1"/>
  <c r="E424" i="3"/>
  <c r="F424" i="3" s="1"/>
  <c r="B44" i="3"/>
  <c r="E225" i="3"/>
  <c r="F225" i="3" s="1"/>
  <c r="E393" i="3"/>
  <c r="F393" i="3" s="1"/>
  <c r="C46" i="3"/>
  <c r="E154" i="3"/>
  <c r="F154" i="3" s="1"/>
  <c r="E306" i="3"/>
  <c r="F306" i="3" s="1"/>
  <c r="E474" i="3"/>
  <c r="F474" i="3" s="1"/>
  <c r="E163" i="3"/>
  <c r="F163" i="3" s="1"/>
  <c r="E355" i="3"/>
  <c r="F355" i="3" s="1"/>
  <c r="E98" i="3"/>
  <c r="F98" i="3" s="1"/>
  <c r="E284" i="3"/>
  <c r="F284" i="3" s="1"/>
  <c r="E500" i="3"/>
  <c r="F500" i="3" s="1"/>
  <c r="E317" i="3"/>
  <c r="F317" i="3" s="1"/>
  <c r="E158" i="3"/>
  <c r="F158" i="3" s="1"/>
  <c r="B47" i="3"/>
  <c r="E166" i="3"/>
  <c r="F166" i="3" s="1"/>
  <c r="E190" i="3"/>
  <c r="F190" i="3" s="1"/>
  <c r="E100" i="3"/>
  <c r="F100" i="3" s="1"/>
  <c r="E177" i="3"/>
  <c r="F177" i="3" s="1"/>
  <c r="E305" i="3"/>
  <c r="F305" i="3" s="1"/>
  <c r="E433" i="3"/>
  <c r="F433" i="3" s="1"/>
  <c r="B54" i="3"/>
  <c r="D54" i="3" s="1"/>
  <c r="E54" i="3" s="1"/>
  <c r="E130" i="3"/>
  <c r="F130" i="3" s="1"/>
  <c r="E258" i="3"/>
  <c r="F258" i="3" s="1"/>
  <c r="E386" i="3"/>
  <c r="F386" i="3" s="1"/>
  <c r="E514" i="3"/>
  <c r="F514" i="3" s="1"/>
  <c r="E171" i="3"/>
  <c r="F171" i="3" s="1"/>
  <c r="E299" i="3"/>
  <c r="F299" i="3" s="1"/>
  <c r="E427" i="3"/>
  <c r="F427" i="3" s="1"/>
  <c r="C35" i="3"/>
  <c r="E35" i="3" s="1"/>
  <c r="G35" i="3" s="1"/>
  <c r="E204" i="3"/>
  <c r="F204" i="3" s="1"/>
  <c r="E332" i="3"/>
  <c r="F332" i="3" s="1"/>
  <c r="E460" i="3"/>
  <c r="F460" i="3" s="1"/>
  <c r="E149" i="3"/>
  <c r="F149" i="3" s="1"/>
  <c r="E277" i="3"/>
  <c r="F277" i="3" s="1"/>
  <c r="E405" i="3"/>
  <c r="F405" i="3" s="1"/>
  <c r="C47" i="3"/>
  <c r="E182" i="3"/>
  <c r="F182" i="3" s="1"/>
  <c r="E310" i="3"/>
  <c r="F310" i="3" s="1"/>
  <c r="E438" i="3"/>
  <c r="F438" i="3" s="1"/>
  <c r="E446" i="3"/>
  <c r="F446" i="3" s="1"/>
  <c r="E220" i="3"/>
  <c r="F220" i="3" s="1"/>
  <c r="E348" i="3"/>
  <c r="F348" i="3" s="1"/>
  <c r="E476" i="3"/>
  <c r="F476" i="3" s="1"/>
  <c r="E165" i="3"/>
  <c r="F165" i="3" s="1"/>
  <c r="E293" i="3"/>
  <c r="F293" i="3" s="1"/>
  <c r="E421" i="3"/>
  <c r="F421" i="3" s="1"/>
  <c r="B55" i="3"/>
  <c r="E198" i="3"/>
  <c r="F198" i="3" s="1"/>
  <c r="E326" i="3"/>
  <c r="F326" i="3" s="1"/>
  <c r="E454" i="3"/>
  <c r="F454" i="3" s="1"/>
  <c r="E195" i="3"/>
  <c r="F195" i="3" s="1"/>
  <c r="E323" i="3"/>
  <c r="F323" i="3" s="1"/>
  <c r="E451" i="3"/>
  <c r="F451" i="3" s="1"/>
  <c r="E103" i="3"/>
  <c r="F103" i="3" s="1"/>
  <c r="E228" i="3"/>
  <c r="F228" i="3" s="1"/>
  <c r="E356" i="3"/>
  <c r="F356" i="3" s="1"/>
  <c r="E484" i="3"/>
  <c r="F484" i="3" s="1"/>
  <c r="E173" i="3"/>
  <c r="F173" i="3" s="1"/>
  <c r="E301" i="3"/>
  <c r="F301" i="3" s="1"/>
  <c r="E429" i="3"/>
  <c r="F429" i="3" s="1"/>
  <c r="B57" i="3"/>
  <c r="D57" i="3" s="1"/>
  <c r="E57" i="3" s="1"/>
  <c r="E206" i="3"/>
  <c r="F206" i="3" s="1"/>
  <c r="E334" i="3"/>
  <c r="F334" i="3" s="1"/>
  <c r="E462" i="3"/>
  <c r="F462" i="3" s="1"/>
  <c r="E214" i="3"/>
  <c r="F214" i="3" s="1"/>
  <c r="E342" i="3"/>
  <c r="F342" i="3" s="1"/>
  <c r="E470" i="3"/>
  <c r="F470" i="3" s="1"/>
  <c r="E222" i="3"/>
  <c r="F222" i="3" s="1"/>
  <c r="E350" i="3"/>
  <c r="F350" i="3" s="1"/>
  <c r="E478" i="3"/>
  <c r="F478" i="3" s="1"/>
  <c r="E219" i="3"/>
  <c r="F219" i="3" s="1"/>
  <c r="E347" i="3"/>
  <c r="F347" i="3" s="1"/>
  <c r="E475" i="3"/>
  <c r="F475" i="3" s="1"/>
  <c r="E124" i="3"/>
  <c r="F124" i="3" s="1"/>
  <c r="E252" i="3"/>
  <c r="F252" i="3" s="1"/>
  <c r="E380" i="3"/>
  <c r="F380" i="3" s="1"/>
  <c r="E508" i="3"/>
  <c r="F508" i="3" s="1"/>
  <c r="E197" i="3"/>
  <c r="F197" i="3" s="1"/>
  <c r="E325" i="3"/>
  <c r="F325" i="3" s="1"/>
  <c r="E453" i="3"/>
  <c r="F453" i="3" s="1"/>
  <c r="E102" i="3"/>
  <c r="F102" i="3" s="1"/>
  <c r="E230" i="3"/>
  <c r="F230" i="3" s="1"/>
  <c r="E358" i="3"/>
  <c r="F358" i="3" s="1"/>
  <c r="E486" i="3"/>
  <c r="F486" i="3" s="1"/>
  <c r="E205" i="3"/>
  <c r="F205" i="3" s="1"/>
  <c r="E333" i="3"/>
  <c r="F333" i="3" s="1"/>
  <c r="E461" i="3"/>
  <c r="F461" i="3" s="1"/>
  <c r="E110" i="3"/>
  <c r="F110" i="3" s="1"/>
  <c r="E238" i="3"/>
  <c r="F238" i="3" s="1"/>
  <c r="E366" i="3"/>
  <c r="F366" i="3" s="1"/>
  <c r="E494" i="3"/>
  <c r="F494" i="3" s="1"/>
  <c r="B18" i="3"/>
  <c r="U2" i="1" s="1"/>
  <c r="E496" i="3"/>
  <c r="F496" i="3" s="1"/>
  <c r="E113" i="3"/>
  <c r="F113" i="3" s="1"/>
  <c r="E241" i="3"/>
  <c r="F241" i="3" s="1"/>
  <c r="E369" i="3"/>
  <c r="F369" i="3" s="1"/>
  <c r="E497" i="3"/>
  <c r="F497" i="3" s="1"/>
  <c r="C56" i="3"/>
  <c r="E194" i="3"/>
  <c r="F194" i="3" s="1"/>
  <c r="E322" i="3"/>
  <c r="F322" i="3" s="1"/>
  <c r="E450" i="3"/>
  <c r="F450" i="3" s="1"/>
  <c r="E107" i="3"/>
  <c r="F107" i="3" s="1"/>
  <c r="E235" i="3"/>
  <c r="F235" i="3" s="1"/>
  <c r="E363" i="3"/>
  <c r="F363" i="3" s="1"/>
  <c r="E491" i="3"/>
  <c r="F491" i="3" s="1"/>
  <c r="E140" i="3"/>
  <c r="F140" i="3" s="1"/>
  <c r="E268" i="3"/>
  <c r="F268" i="3" s="1"/>
  <c r="E396" i="3"/>
  <c r="F396" i="3" s="1"/>
  <c r="D35" i="3"/>
  <c r="F35" i="3" s="1"/>
  <c r="E213" i="3"/>
  <c r="F213" i="3" s="1"/>
  <c r="E341" i="3"/>
  <c r="F341" i="3" s="1"/>
  <c r="E469" i="3"/>
  <c r="F469" i="3" s="1"/>
  <c r="E118" i="3"/>
  <c r="F118" i="3" s="1"/>
  <c r="E246" i="3"/>
  <c r="F246" i="3" s="1"/>
  <c r="E374" i="3"/>
  <c r="F374" i="3" s="1"/>
  <c r="E502" i="3"/>
  <c r="F502" i="3" s="1"/>
  <c r="E359" i="3"/>
  <c r="F359" i="3" s="1"/>
  <c r="E487" i="3"/>
  <c r="F487" i="3" s="1"/>
  <c r="E120" i="3"/>
  <c r="F120" i="3" s="1"/>
  <c r="E248" i="3"/>
  <c r="F248" i="3" s="1"/>
  <c r="E376" i="3"/>
  <c r="F376" i="3" s="1"/>
  <c r="E504" i="3"/>
  <c r="F504" i="3" s="1"/>
  <c r="E121" i="3"/>
  <c r="F121" i="3" s="1"/>
  <c r="E249" i="3"/>
  <c r="F249" i="3" s="1"/>
  <c r="E377" i="3"/>
  <c r="F377" i="3" s="1"/>
  <c r="E505" i="3"/>
  <c r="F505" i="3" s="1"/>
  <c r="C58" i="3"/>
  <c r="D58" i="3" s="1"/>
  <c r="E58" i="3" s="1"/>
  <c r="E202" i="3"/>
  <c r="F202" i="3" s="1"/>
  <c r="E330" i="3"/>
  <c r="F330" i="3" s="1"/>
  <c r="E458" i="3"/>
  <c r="F458" i="3" s="1"/>
  <c r="E115" i="3"/>
  <c r="F115" i="3" s="1"/>
  <c r="E243" i="3"/>
  <c r="F243" i="3" s="1"/>
  <c r="E371" i="3"/>
  <c r="F371" i="3" s="1"/>
  <c r="E499" i="3"/>
  <c r="F499" i="3" s="1"/>
  <c r="E148" i="3"/>
  <c r="F148" i="3" s="1"/>
  <c r="E276" i="3"/>
  <c r="F276" i="3" s="1"/>
  <c r="E404" i="3"/>
  <c r="F404" i="3" s="1"/>
  <c r="C66" i="3"/>
  <c r="D66" i="3" s="1"/>
  <c r="E66" i="3" s="1"/>
  <c r="E221" i="3"/>
  <c r="F221" i="3" s="1"/>
  <c r="E349" i="3"/>
  <c r="F349" i="3" s="1"/>
  <c r="E477" i="3"/>
  <c r="F477" i="3" s="1"/>
  <c r="E126" i="3"/>
  <c r="F126" i="3" s="1"/>
  <c r="E254" i="3"/>
  <c r="F254" i="3" s="1"/>
  <c r="E382" i="3"/>
  <c r="F382" i="3" s="1"/>
  <c r="E510" i="3"/>
  <c r="F510" i="3" s="1"/>
  <c r="E229" i="3"/>
  <c r="F229" i="3" s="1"/>
  <c r="E357" i="3"/>
  <c r="F357" i="3" s="1"/>
  <c r="E485" i="3"/>
  <c r="F485" i="3" s="1"/>
  <c r="E134" i="3"/>
  <c r="F134" i="3" s="1"/>
  <c r="E262" i="3"/>
  <c r="F262" i="3" s="1"/>
  <c r="E390" i="3"/>
  <c r="F390" i="3" s="1"/>
  <c r="B43" i="3"/>
  <c r="D43" i="3" s="1"/>
  <c r="E43" i="3" s="1"/>
  <c r="B11" i="3"/>
  <c r="B14" i="3" s="1"/>
  <c r="E172" i="3"/>
  <c r="F172" i="3" s="1"/>
  <c r="E300" i="3"/>
  <c r="F300" i="3" s="1"/>
  <c r="E428" i="3"/>
  <c r="F428" i="3" s="1"/>
  <c r="E117" i="3"/>
  <c r="F117" i="3" s="1"/>
  <c r="E245" i="3"/>
  <c r="F245" i="3" s="1"/>
  <c r="E373" i="3"/>
  <c r="F373" i="3" s="1"/>
  <c r="E501" i="3"/>
  <c r="F501" i="3" s="1"/>
  <c r="E150" i="3"/>
  <c r="F150" i="3" s="1"/>
  <c r="E278" i="3"/>
  <c r="F278" i="3" s="1"/>
  <c r="E406" i="3"/>
  <c r="F406" i="3" s="1"/>
  <c r="D45" i="3"/>
  <c r="E45" i="3" s="1"/>
  <c r="E34" i="3"/>
  <c r="H34" i="3" s="1"/>
  <c r="C28" i="3"/>
  <c r="D44" i="3"/>
  <c r="E44" i="3" s="1"/>
  <c r="E36" i="3"/>
  <c r="G36" i="3" s="1"/>
  <c r="D56" i="3"/>
  <c r="E56" i="3" s="1"/>
  <c r="B48" i="3"/>
  <c r="C26" i="3"/>
  <c r="B29" i="3"/>
  <c r="AD10" i="1" s="1"/>
  <c r="E7" i="1"/>
  <c r="B27" i="3"/>
  <c r="AC7" i="1" s="1"/>
  <c r="D64" i="3"/>
  <c r="E64" i="3" s="1"/>
  <c r="D46" i="3"/>
  <c r="E46" i="3" s="1"/>
  <c r="D52" i="3"/>
  <c r="E52" i="3" s="1"/>
  <c r="B30" i="3"/>
  <c r="AL10" i="1" s="1"/>
  <c r="AK7" i="1"/>
  <c r="B28" i="3"/>
  <c r="V10" i="1" s="1"/>
  <c r="N10" i="1"/>
  <c r="D53" i="3"/>
  <c r="E53" i="3" s="1"/>
  <c r="B37" i="3"/>
  <c r="F34" i="3"/>
  <c r="C29" i="3"/>
  <c r="C27" i="3"/>
  <c r="D63" i="3"/>
  <c r="E63" i="3" s="1"/>
  <c r="C30" i="3"/>
  <c r="F36" i="3"/>
  <c r="M7" i="1" l="1"/>
  <c r="B67" i="3"/>
  <c r="D47" i="3"/>
  <c r="E47" i="3" s="1"/>
  <c r="B59" i="3"/>
  <c r="D23" i="3"/>
  <c r="D21" i="3"/>
  <c r="D22" i="3"/>
  <c r="D25" i="3"/>
  <c r="B16" i="3"/>
  <c r="D24" i="3"/>
  <c r="I98" i="3"/>
  <c r="J98" i="3" s="1"/>
  <c r="M98" i="3" s="1"/>
  <c r="AW22" i="1" s="1"/>
  <c r="D55" i="3"/>
  <c r="E55" i="3" s="1"/>
  <c r="H53" i="3" s="1"/>
  <c r="I53" i="3" s="1"/>
  <c r="I104" i="3"/>
  <c r="J104" i="3" s="1"/>
  <c r="N104" i="3" s="1"/>
  <c r="AZ28" i="1" s="1"/>
  <c r="I102" i="3"/>
  <c r="J102" i="3" s="1"/>
  <c r="M102" i="3" s="1"/>
  <c r="AW26" i="1" s="1"/>
  <c r="I96" i="3"/>
  <c r="J96" i="3" s="1"/>
  <c r="N96" i="3" s="1"/>
  <c r="AZ20" i="1" s="1"/>
  <c r="I101" i="3"/>
  <c r="J101" i="3" s="1"/>
  <c r="N101" i="3" s="1"/>
  <c r="AZ25" i="1" s="1"/>
  <c r="I100" i="3"/>
  <c r="J100" i="3" s="1"/>
  <c r="K100" i="3" s="1"/>
  <c r="I103" i="3"/>
  <c r="J103" i="3" s="1"/>
  <c r="K103" i="3" s="1"/>
  <c r="I97" i="3"/>
  <c r="J97" i="3" s="1"/>
  <c r="N97" i="3" s="1"/>
  <c r="AZ21" i="1" s="1"/>
  <c r="I95" i="3"/>
  <c r="J95" i="3" s="1"/>
  <c r="N95" i="3" s="1"/>
  <c r="AZ19" i="1" s="1"/>
  <c r="I99" i="3"/>
  <c r="J99" i="3" s="1"/>
  <c r="N99" i="3" s="1"/>
  <c r="AZ23" i="1" s="1"/>
  <c r="H35" i="3"/>
  <c r="H44" i="3"/>
  <c r="I44" i="3" s="1"/>
  <c r="K44" i="3" s="1"/>
  <c r="G34" i="3"/>
  <c r="C38" i="3" s="1"/>
  <c r="H43" i="3"/>
  <c r="I43" i="3" s="1"/>
  <c r="K43" i="3" s="1"/>
  <c r="H36" i="3"/>
  <c r="H47" i="3"/>
  <c r="I47" i="3" s="1"/>
  <c r="K47" i="3" s="1"/>
  <c r="H45" i="3"/>
  <c r="I45" i="3" s="1"/>
  <c r="K45" i="3" s="1"/>
  <c r="H46" i="3"/>
  <c r="I46" i="3" s="1"/>
  <c r="J46" i="3" s="1"/>
  <c r="C68" i="3"/>
  <c r="B68" i="3"/>
  <c r="H58" i="3"/>
  <c r="I58" i="3" s="1"/>
  <c r="AP29" i="1"/>
  <c r="U7" i="1"/>
  <c r="D26" i="3" l="1"/>
  <c r="E26" i="3" s="1"/>
  <c r="F26" i="3" s="1"/>
  <c r="K95" i="3"/>
  <c r="L95" i="3"/>
  <c r="AT19" i="1" s="1"/>
  <c r="H57" i="3"/>
  <c r="I57" i="3" s="1"/>
  <c r="J57" i="3" s="1"/>
  <c r="H55" i="3"/>
  <c r="I55" i="3" s="1"/>
  <c r="H52" i="3"/>
  <c r="I52" i="3" s="1"/>
  <c r="H54" i="3"/>
  <c r="I54" i="3" s="1"/>
  <c r="K54" i="3" s="1"/>
  <c r="H56" i="3"/>
  <c r="I56" i="3" s="1"/>
  <c r="J56" i="3" s="1"/>
  <c r="N98" i="3"/>
  <c r="AZ22" i="1" s="1"/>
  <c r="K98" i="3"/>
  <c r="AQ22" i="1" s="1"/>
  <c r="B38" i="3"/>
  <c r="B17" i="3"/>
  <c r="E24" i="3"/>
  <c r="F24" i="3" s="1"/>
  <c r="E22" i="3"/>
  <c r="E25" i="3"/>
  <c r="F25" i="3" s="1"/>
  <c r="E21" i="3"/>
  <c r="E8" i="1" s="1"/>
  <c r="D28" i="3"/>
  <c r="E28" i="3" s="1"/>
  <c r="F28" i="3" s="1"/>
  <c r="L97" i="3"/>
  <c r="AT21" i="1" s="1"/>
  <c r="L103" i="3"/>
  <c r="AT27" i="1" s="1"/>
  <c r="M103" i="3"/>
  <c r="AW27" i="1" s="1"/>
  <c r="N103" i="3"/>
  <c r="AZ27" i="1" s="1"/>
  <c r="C39" i="3"/>
  <c r="D27" i="3"/>
  <c r="E27" i="3" s="1"/>
  <c r="AC8" i="1" s="1"/>
  <c r="D29" i="3"/>
  <c r="E29" i="3" s="1"/>
  <c r="F29" i="3" s="1"/>
  <c r="L98" i="3"/>
  <c r="AT22" i="1" s="1"/>
  <c r="E23" i="3"/>
  <c r="D30" i="3"/>
  <c r="E30" i="3" s="1"/>
  <c r="F30" i="3" s="1"/>
  <c r="M100" i="3"/>
  <c r="AW24" i="1" s="1"/>
  <c r="K101" i="3"/>
  <c r="L101" i="3"/>
  <c r="AT25" i="1" s="1"/>
  <c r="M101" i="3"/>
  <c r="AW25" i="1" s="1"/>
  <c r="L100" i="3"/>
  <c r="AT24" i="1" s="1"/>
  <c r="N102" i="3"/>
  <c r="AZ26" i="1" s="1"/>
  <c r="N100" i="3"/>
  <c r="AZ24" i="1" s="1"/>
  <c r="B39" i="3"/>
  <c r="K104" i="3"/>
  <c r="AQ28" i="1" s="1"/>
  <c r="K96" i="3"/>
  <c r="L104" i="3"/>
  <c r="AT28" i="1" s="1"/>
  <c r="L96" i="3"/>
  <c r="AT20" i="1" s="1"/>
  <c r="M104" i="3"/>
  <c r="AW28" i="1" s="1"/>
  <c r="M96" i="3"/>
  <c r="AW20" i="1" s="1"/>
  <c r="K97" i="3"/>
  <c r="AQ21" i="1" s="1"/>
  <c r="K99" i="3"/>
  <c r="L99" i="3"/>
  <c r="AT23" i="1" s="1"/>
  <c r="M97" i="3"/>
  <c r="AW21" i="1" s="1"/>
  <c r="M99" i="3"/>
  <c r="AW23" i="1" s="1"/>
  <c r="M95" i="3"/>
  <c r="AW19" i="1" s="1"/>
  <c r="K102" i="3"/>
  <c r="AQ26" i="1" s="1"/>
  <c r="L102" i="3"/>
  <c r="AT26" i="1" s="1"/>
  <c r="J43" i="3"/>
  <c r="J45" i="3"/>
  <c r="J44" i="3"/>
  <c r="J47" i="3"/>
  <c r="K46" i="3"/>
  <c r="K53" i="3"/>
  <c r="J53" i="3"/>
  <c r="K55" i="3"/>
  <c r="J55" i="3"/>
  <c r="K57" i="3"/>
  <c r="J52" i="3"/>
  <c r="K52" i="3"/>
  <c r="Q98" i="3"/>
  <c r="BG22" i="1" s="1"/>
  <c r="J54" i="3"/>
  <c r="J58" i="3"/>
  <c r="K58" i="3"/>
  <c r="AQ24" i="1"/>
  <c r="AP24" i="1"/>
  <c r="AQ19" i="1"/>
  <c r="AP19" i="1"/>
  <c r="AQ27" i="1"/>
  <c r="AP27" i="1"/>
  <c r="AP22" i="1" l="1"/>
  <c r="Q95" i="3"/>
  <c r="BG19" i="1" s="1"/>
  <c r="P99" i="3"/>
  <c r="BD23" i="1" s="1"/>
  <c r="P95" i="3"/>
  <c r="BD19" i="1" s="1"/>
  <c r="AP23" i="1"/>
  <c r="AQ23" i="1"/>
  <c r="U8" i="1"/>
  <c r="P98" i="3"/>
  <c r="BD22" i="1" s="1"/>
  <c r="K56" i="3"/>
  <c r="B88" i="3"/>
  <c r="Q103" i="3"/>
  <c r="BG27" i="1" s="1"/>
  <c r="F27" i="3"/>
  <c r="P96" i="3"/>
  <c r="BD20" i="1" s="1"/>
  <c r="Q101" i="3"/>
  <c r="BG25" i="1" s="1"/>
  <c r="O99" i="3"/>
  <c r="BB23" i="1" s="1"/>
  <c r="Q99" i="3"/>
  <c r="BG23" i="1" s="1"/>
  <c r="Q100" i="3"/>
  <c r="BG24" i="1" s="1"/>
  <c r="B87" i="3"/>
  <c r="AQ36" i="1" s="1"/>
  <c r="O103" i="3"/>
  <c r="BB27" i="1" s="1"/>
  <c r="O98" i="3"/>
  <c r="BB22" i="1" s="1"/>
  <c r="P103" i="3"/>
  <c r="BD27" i="1" s="1"/>
  <c r="O100" i="3"/>
  <c r="BB24" i="1" s="1"/>
  <c r="AP20" i="1"/>
  <c r="F22" i="3"/>
  <c r="M8" i="1"/>
  <c r="O95" i="3"/>
  <c r="BB19" i="1" s="1"/>
  <c r="O96" i="3"/>
  <c r="BB20" i="1" s="1"/>
  <c r="P101" i="3"/>
  <c r="BD25" i="1" s="1"/>
  <c r="Q96" i="3"/>
  <c r="BG20" i="1" s="1"/>
  <c r="AM8" i="1"/>
  <c r="O8" i="1"/>
  <c r="W8" i="1"/>
  <c r="AE8" i="1"/>
  <c r="G8" i="1"/>
  <c r="P104" i="3"/>
  <c r="BD28" i="1" s="1"/>
  <c r="AK8" i="1"/>
  <c r="F23" i="3"/>
  <c r="AQ20" i="1"/>
  <c r="P100" i="3"/>
  <c r="BD24" i="1" s="1"/>
  <c r="O104" i="3"/>
  <c r="BB28" i="1" s="1"/>
  <c r="AP28" i="1"/>
  <c r="O97" i="3"/>
  <c r="BB21" i="1" s="1"/>
  <c r="AP26" i="1"/>
  <c r="Q97" i="3"/>
  <c r="BG21" i="1" s="1"/>
  <c r="Q104" i="3"/>
  <c r="BG28" i="1" s="1"/>
  <c r="P102" i="3"/>
  <c r="BD26" i="1" s="1"/>
  <c r="P97" i="3"/>
  <c r="BD21" i="1" s="1"/>
  <c r="O102" i="3"/>
  <c r="BB26" i="1" s="1"/>
  <c r="AP21" i="1"/>
  <c r="Q102" i="3"/>
  <c r="BG26" i="1" s="1"/>
  <c r="AP25" i="1"/>
  <c r="AQ25" i="1"/>
  <c r="O101" i="3"/>
  <c r="BB25" i="1" s="1"/>
  <c r="B91" i="3"/>
  <c r="AQ44" i="1" s="1"/>
  <c r="B89" i="3"/>
  <c r="B90" i="3" s="1"/>
  <c r="AQ40" i="1" s="1"/>
  <c r="S99" i="3" l="1"/>
  <c r="BK23" i="1" s="1"/>
  <c r="R103" i="3"/>
  <c r="BI27" i="1" s="1"/>
  <c r="R95" i="3"/>
  <c r="BI19" i="1" s="1"/>
  <c r="R99" i="3"/>
  <c r="BI23" i="1" s="1"/>
  <c r="S95" i="3"/>
  <c r="BK19" i="1" s="1"/>
  <c r="S103" i="3"/>
  <c r="BK27" i="1" s="1"/>
  <c r="S98" i="3"/>
  <c r="BK22" i="1" s="1"/>
  <c r="S96" i="3"/>
  <c r="BK20" i="1" s="1"/>
  <c r="R96" i="3"/>
  <c r="BI20" i="1" s="1"/>
  <c r="R98" i="3"/>
  <c r="BI22" i="1" s="1"/>
  <c r="R100" i="3"/>
  <c r="BI24" i="1" s="1"/>
  <c r="S97" i="3"/>
  <c r="BK21" i="1" s="1"/>
  <c r="R101" i="3"/>
  <c r="BI25" i="1" s="1"/>
  <c r="S104" i="3"/>
  <c r="BK28" i="1" s="1"/>
  <c r="R97" i="3"/>
  <c r="BI21" i="1" s="1"/>
  <c r="R104" i="3"/>
  <c r="BI28" i="1" s="1"/>
  <c r="S100" i="3"/>
  <c r="BK24" i="1" s="1"/>
  <c r="S102" i="3"/>
  <c r="BK26" i="1" s="1"/>
  <c r="S101" i="3"/>
  <c r="BK25" i="1" s="1"/>
  <c r="R102" i="3"/>
  <c r="BI26" i="1" s="1"/>
</calcChain>
</file>

<file path=xl/sharedStrings.xml><?xml version="1.0" encoding="utf-8"?>
<sst xmlns="http://schemas.openxmlformats.org/spreadsheetml/2006/main" count="9128" uniqueCount="156">
  <si>
    <t>GLOBAL ADS PERFORMANCE DASHBOARD</t>
  </si>
  <si>
    <t>Analyze performance across Google Ads, Meta Ads, and TikTok Ads to drive better marketing decisions.</t>
  </si>
  <si>
    <t>Marketing Analytics  |  Jan-Dec 2024</t>
  </si>
  <si>
    <t>💰</t>
  </si>
  <si>
    <t>TOTAL AD SPEND</t>
  </si>
  <si>
    <t>📈</t>
  </si>
  <si>
    <t>TOTAL REVENUE</t>
  </si>
  <si>
    <t>🎯</t>
  </si>
  <si>
    <t>OVERALL ROAS</t>
  </si>
  <si>
    <t>👥</t>
  </si>
  <si>
    <t>OVERALL CPA</t>
  </si>
  <si>
    <t>✅</t>
  </si>
  <si>
    <t>CONVERSIONS</t>
  </si>
  <si>
    <t>IMPRESSIONS</t>
  </si>
  <si>
    <t>CLICKS</t>
  </si>
  <si>
    <t>CTR</t>
  </si>
  <si>
    <t>CPC</t>
  </si>
  <si>
    <t>CONVERSION RATE</t>
  </si>
  <si>
    <t>▼ FILTERS
click a cell, pick from the list</t>
  </si>
  <si>
    <t>Date Range ▾</t>
  </si>
  <si>
    <t>Platform ▾</t>
  </si>
  <si>
    <t>Industry ▾</t>
  </si>
  <si>
    <t>Country ▾</t>
  </si>
  <si>
    <t>Campaign Type ▾</t>
  </si>
  <si>
    <t>All Periods</t>
  </si>
  <si>
    <t>All Platforms</t>
  </si>
  <si>
    <t>All Industries</t>
  </si>
  <si>
    <t>All Countries</t>
  </si>
  <si>
    <t>All Campaign Types</t>
  </si>
  <si>
    <t>Monthly Spend vs Revenue   (all months · other filters apply)</t>
  </si>
  <si>
    <t>ROAS by Platform</t>
  </si>
  <si>
    <t>Ad Spend Share by Platform</t>
  </si>
  <si>
    <t>ROAS by Industry</t>
  </si>
  <si>
    <t>CPA by Country</t>
  </si>
  <si>
    <t>CTR by Campaign Type</t>
  </si>
  <si>
    <t>📋  KEY FINDINGS &amp; ACTIONS</t>
  </si>
  <si>
    <t>Finding 1  ·  Platform efficiency</t>
  </si>
  <si>
    <t>Finding 2  ·  Industry &amp; country</t>
  </si>
  <si>
    <t>Recommended action</t>
  </si>
  <si>
    <t>Campaign Performance Detail   (Top 10 segments by revenue · follows the filters)</t>
  </si>
  <si>
    <t>#</t>
  </si>
  <si>
    <t>Platform</t>
  </si>
  <si>
    <t>Campaign Type</t>
  </si>
  <si>
    <t>Industry</t>
  </si>
  <si>
    <t>Country</t>
  </si>
  <si>
    <t>Ad Spend</t>
  </si>
  <si>
    <t>Conversions</t>
  </si>
  <si>
    <t>Revenue</t>
  </si>
  <si>
    <t>ROAS</t>
  </si>
  <si>
    <t>CPA</t>
  </si>
  <si>
    <t>date</t>
  </si>
  <si>
    <t>platform</t>
  </si>
  <si>
    <t>campaign_type</t>
  </si>
  <si>
    <t>industry</t>
  </si>
  <si>
    <t>country</t>
  </si>
  <si>
    <t>impressions</t>
  </si>
  <si>
    <t>clicks</t>
  </si>
  <si>
    <t>ad_spend</t>
  </si>
  <si>
    <t>conversions</t>
  </si>
  <si>
    <t>revenue</t>
  </si>
  <si>
    <t>Google Ads</t>
  </si>
  <si>
    <t>Search</t>
  </si>
  <si>
    <t>Fintech</t>
  </si>
  <si>
    <t>UAE</t>
  </si>
  <si>
    <t>TikTok Ads</t>
  </si>
  <si>
    <t>EdTech</t>
  </si>
  <si>
    <t>UK</t>
  </si>
  <si>
    <t>Video</t>
  </si>
  <si>
    <t>Healthcare</t>
  </si>
  <si>
    <t>USA</t>
  </si>
  <si>
    <t>Shopping</t>
  </si>
  <si>
    <t>SaaS</t>
  </si>
  <si>
    <t>Germany</t>
  </si>
  <si>
    <t>Canada</t>
  </si>
  <si>
    <t>Meta Ads</t>
  </si>
  <si>
    <t>Display</t>
  </si>
  <si>
    <t>E-commerce</t>
  </si>
  <si>
    <t>India</t>
  </si>
  <si>
    <t>Australia</t>
  </si>
  <si>
    <t>Calculation sheet - feeds the Dashboard (do not edit; change filters on the Dashboard)</t>
  </si>
  <si>
    <t>Date Range</t>
  </si>
  <si>
    <t>Start date</t>
  </si>
  <si>
    <t>End date</t>
  </si>
  <si>
    <t>Months in range</t>
  </si>
  <si>
    <t>Compare: current start</t>
  </si>
  <si>
    <t>Compare: current end</t>
  </si>
  <si>
    <t>Compare: previous start</t>
  </si>
  <si>
    <t>Compare: previous end</t>
  </si>
  <si>
    <t>Previous period valid?</t>
  </si>
  <si>
    <t>Comparison label</t>
  </si>
  <si>
    <t>Period text</t>
  </si>
  <si>
    <t>Metric</t>
  </si>
  <si>
    <t>Selected</t>
  </si>
  <si>
    <t>Compare current</t>
  </si>
  <si>
    <t>Compare previous</t>
  </si>
  <si>
    <t>Delta %</t>
  </si>
  <si>
    <t>Signal</t>
  </si>
  <si>
    <t>Impressions</t>
  </si>
  <si>
    <t>Clicks</t>
  </si>
  <si>
    <t>Conversion Rate</t>
  </si>
  <si>
    <t>ROAS (max helper)</t>
  </si>
  <si>
    <t>ROAS (min helper)</t>
  </si>
  <si>
    <t>Platforms in view</t>
  </si>
  <si>
    <t>Best ROAS platform</t>
  </si>
  <si>
    <t>Weakest ROAS platform</t>
  </si>
  <si>
    <t>Sort key</t>
  </si>
  <si>
    <t>Rank</t>
  </si>
  <si>
    <t>Key</t>
  </si>
  <si>
    <t>Index</t>
  </si>
  <si>
    <t>Sorted name</t>
  </si>
  <si>
    <t>Sorted ROAS</t>
  </si>
  <si>
    <t>Items in view</t>
  </si>
  <si>
    <t>Sorted CPA</t>
  </si>
  <si>
    <t>CTR (max helper)</t>
  </si>
  <si>
    <t>Types in view</t>
  </si>
  <si>
    <t>Top CTR type</t>
  </si>
  <si>
    <t>Month</t>
  </si>
  <si>
    <t>Start</t>
  </si>
  <si>
    <t>End</t>
  </si>
  <si>
    <t>Key findings (text for Dashboard)</t>
  </si>
  <si>
    <t>Finding 1</t>
  </si>
  <si>
    <t>Finding 2 - industry part</t>
  </si>
  <si>
    <t>Finding 2 - country part</t>
  </si>
  <si>
    <t>Finding 2</t>
  </si>
  <si>
    <t>Year in data</t>
  </si>
  <si>
    <t>Dropdown source lists. If a new platform/industry/country/campaign type is added to Data, add it here and in the Calc tables.</t>
  </si>
  <si>
    <t>Jan</t>
  </si>
  <si>
    <t>Q1 2024</t>
  </si>
  <si>
    <t>Feb</t>
  </si>
  <si>
    <t>Q2 2024</t>
  </si>
  <si>
    <t>Mar</t>
  </si>
  <si>
    <t>Q3 2024</t>
  </si>
  <si>
    <t>Apr</t>
  </si>
  <si>
    <t>Q4 2024</t>
  </si>
  <si>
    <t>May</t>
  </si>
  <si>
    <t>H1 2024</t>
  </si>
  <si>
    <t>Jun</t>
  </si>
  <si>
    <t>H2 2024</t>
  </si>
  <si>
    <t>Jul</t>
  </si>
  <si>
    <t>Jan 2024</t>
  </si>
  <si>
    <t>Aug</t>
  </si>
  <si>
    <t>Feb 2024</t>
  </si>
  <si>
    <t>Sep</t>
  </si>
  <si>
    <t>Mar 2024</t>
  </si>
  <si>
    <t>Oct</t>
  </si>
  <si>
    <t>Apr 2024</t>
  </si>
  <si>
    <t>Nov</t>
  </si>
  <si>
    <t>May 2024</t>
  </si>
  <si>
    <t>Dec</t>
  </si>
  <si>
    <t>Jun 2024</t>
  </si>
  <si>
    <t>Jul 2024</t>
  </si>
  <si>
    <t>Aug 2024</t>
  </si>
  <si>
    <t>Sep 2024</t>
  </si>
  <si>
    <t>Oct 2024</t>
  </si>
  <si>
    <t>Nov 2024</t>
  </si>
  <si>
    <t>Dec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</si>
</sst>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&gt;=1000000]\$#,##0.00,,\M;[&gt;=1000]\$#,##0.0,\K;\$#,##0.00"/>
    <numFmt numFmtId="165" formatCode="0.00\x"/>
    <numFmt numFmtId="166" formatCode="\$#,##0.00"/>
    <numFmt numFmtId="167" formatCode="&quot;▲ &quot;0.0%;&quot;▼ &quot;0.0%;&quot;– &quot;0.0%;@"/>
    <numFmt numFmtId="168" formatCode="[&gt;=1000000]#,##0.00,,\M;[&gt;=1000]#,##0.0,\K;#,##0"/>
    <numFmt numFmtId="169" formatCode="\$#,##0"/>
    <numFmt numFmtId="170" formatCode="0.0%"/>
    <numFmt numFmtId="171" formatCode="yyyy\-mm\-dd"/>
  </numFmts>
  <fonts count="19" x14ac:knownFonts="1">
    <font>
      <sz val="11"/>
      <color theme="1"/>
      <name val="Calibri"/>
      <family val="2"/>
      <charset val="1"/>
    </font>
    <font>
      <b/>
      <sz val="22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DCE7F7"/>
      <name val="Arial"/>
      <family val="2"/>
    </font>
    <font>
      <sz val="11"/>
      <color rgb="FFC9D8F0"/>
      <name val="Arial"/>
      <family val="2"/>
    </font>
    <font>
      <sz val="16"/>
      <color rgb="FFFFFFFF"/>
      <name val="Segoe UI Emoji"/>
      <family val="2"/>
    </font>
    <font>
      <b/>
      <sz val="9"/>
      <color rgb="FF6B7A90"/>
      <name val="Arial"/>
      <family val="2"/>
    </font>
    <font>
      <b/>
      <sz val="20"/>
      <color rgb="FF0F2D57"/>
      <name val="Arial"/>
      <family val="2"/>
    </font>
    <font>
      <b/>
      <sz val="10"/>
      <color rgb="FF3D5A80"/>
      <name val="Arial"/>
      <family val="2"/>
    </font>
    <font>
      <sz val="8"/>
      <color rgb="FF6B7A90"/>
      <name val="Arial"/>
      <family val="2"/>
    </font>
    <font>
      <b/>
      <sz val="8"/>
      <color rgb="FF6B7A90"/>
      <name val="Arial"/>
      <family val="2"/>
    </font>
    <font>
      <b/>
      <sz val="12"/>
      <color rgb="FF0F2D57"/>
      <name val="Arial"/>
      <family val="2"/>
    </font>
    <font>
      <b/>
      <sz val="11"/>
      <color rgb="FF0F2D57"/>
      <name val="Arial"/>
      <family val="2"/>
    </font>
    <font>
      <b/>
      <sz val="14"/>
      <color rgb="FF1F6FE0"/>
      <name val="Arial"/>
      <family val="2"/>
    </font>
    <font>
      <sz val="10"/>
      <color rgb="FF1B2A41"/>
      <name val="Arial"/>
      <family val="2"/>
    </font>
    <font>
      <b/>
      <sz val="10"/>
      <color rgb="FF1B2A41"/>
      <name val="Arial"/>
      <family val="2"/>
    </font>
    <font>
      <i/>
      <sz val="8"/>
      <color rgb="FF6B7A90"/>
      <name val="Arial"/>
      <family val="2"/>
    </font>
    <font>
      <i/>
      <sz val="9"/>
      <color rgb="FF6B7A90"/>
      <name val="Arial"/>
      <family val="2"/>
    </font>
    <font>
      <sz val="11"/>
      <color rgb="FF2F3E55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F1F5FA"/>
        <bgColor rgb="FFEEF3FA"/>
      </patternFill>
    </fill>
    <fill>
      <patternFill patternType="solid">
        <fgColor rgb="FF1F6FE0"/>
        <bgColor rgb="FF4F81BD"/>
      </patternFill>
    </fill>
    <fill>
      <patternFill patternType="solid">
        <fgColor rgb="FF0F2D57"/>
        <bgColor rgb="FF14325E"/>
      </patternFill>
    </fill>
    <fill>
      <patternFill patternType="solid">
        <fgColor rgb="FFE8F1FB"/>
        <bgColor rgb="FFEEF3FA"/>
      </patternFill>
    </fill>
    <fill>
      <patternFill patternType="solid">
        <fgColor rgb="FFE6F6EE"/>
        <bgColor rgb="FFE8F1FB"/>
      </patternFill>
    </fill>
    <fill>
      <patternFill patternType="solid">
        <fgColor rgb="FF1E9E5A"/>
        <bgColor rgb="FF008000"/>
      </patternFill>
    </fill>
    <fill>
      <patternFill patternType="solid">
        <fgColor rgb="FFFBF3E2"/>
        <bgColor rgb="FFF1F5FA"/>
      </patternFill>
    </fill>
    <fill>
      <patternFill patternType="solid">
        <fgColor rgb="FFB58B2A"/>
        <bgColor rgb="FFFF9900"/>
      </patternFill>
    </fill>
    <fill>
      <patternFill patternType="solid">
        <fgColor rgb="FFEFEBFB"/>
        <bgColor rgb="FFE6ECF5"/>
      </patternFill>
    </fill>
    <fill>
      <patternFill patternType="solid">
        <fgColor rgb="FF5B3FC2"/>
        <bgColor rgb="FF3D5A80"/>
      </patternFill>
    </fill>
    <fill>
      <patternFill patternType="solid">
        <fgColor rgb="FFFFFFFF"/>
        <bgColor rgb="FFF1F5FA"/>
      </patternFill>
    </fill>
    <fill>
      <patternFill patternType="solid">
        <fgColor rgb="FFE3ECF8"/>
        <bgColor rgb="FFE1ECFA"/>
      </patternFill>
    </fill>
    <fill>
      <patternFill patternType="solid">
        <fgColor rgb="FFDCE9F8"/>
        <bgColor rgb="FFDCE7F7"/>
      </patternFill>
    </fill>
    <fill>
      <patternFill patternType="solid">
        <fgColor rgb="FFE1ECFA"/>
        <bgColor rgb="FFE3ECF8"/>
      </patternFill>
    </fill>
    <fill>
      <patternFill patternType="solid">
        <fgColor rgb="FF14325E"/>
        <bgColor rgb="FF0F2D57"/>
      </patternFill>
    </fill>
    <fill>
      <patternFill patternType="solid">
        <fgColor rgb="FFEEF3FA"/>
        <bgColor rgb="FFF1F5FA"/>
      </patternFill>
    </fill>
  </fills>
  <borders count="26">
    <border>
      <left/>
      <right/>
      <top/>
      <bottom/>
      <diagonal/>
    </border>
    <border>
      <left style="thin">
        <color rgb="FF5B7BAE"/>
      </left>
      <right/>
      <top/>
      <bottom/>
      <diagonal/>
    </border>
    <border>
      <left style="thick">
        <color rgb="FF1F6FE0"/>
      </left>
      <right/>
      <top style="thin">
        <color rgb="FFD9E2EF"/>
      </top>
      <bottom/>
      <diagonal/>
    </border>
    <border>
      <left/>
      <right/>
      <top style="thin">
        <color rgb="FFD9E2EF"/>
      </top>
      <bottom/>
      <diagonal/>
    </border>
    <border>
      <left/>
      <right style="thin">
        <color rgb="FFD9E2EF"/>
      </right>
      <top style="thin">
        <color rgb="FFD9E2EF"/>
      </top>
      <bottom/>
      <diagonal/>
    </border>
    <border>
      <left style="thick">
        <color rgb="FF1E9E5A"/>
      </left>
      <right/>
      <top style="thin">
        <color rgb="FFD9E2EF"/>
      </top>
      <bottom/>
      <diagonal/>
    </border>
    <border>
      <left style="thick">
        <color rgb="FFB58B2A"/>
      </left>
      <right/>
      <top style="thin">
        <color rgb="FFD9E2EF"/>
      </top>
      <bottom/>
      <diagonal/>
    </border>
    <border>
      <left style="thick">
        <color rgb="FF5B3FC2"/>
      </left>
      <right/>
      <top style="thin">
        <color rgb="FFD9E2EF"/>
      </top>
      <bottom/>
      <diagonal/>
    </border>
    <border>
      <left style="thick">
        <color rgb="FF1F6FE0"/>
      </left>
      <right/>
      <top/>
      <bottom/>
      <diagonal/>
    </border>
    <border>
      <left/>
      <right style="thin">
        <color rgb="FFD9E2EF"/>
      </right>
      <top/>
      <bottom/>
      <diagonal/>
    </border>
    <border>
      <left style="thick">
        <color rgb="FF1E9E5A"/>
      </left>
      <right/>
      <top/>
      <bottom/>
      <diagonal/>
    </border>
    <border>
      <left style="thick">
        <color rgb="FFB58B2A"/>
      </left>
      <right/>
      <top/>
      <bottom/>
      <diagonal/>
    </border>
    <border>
      <left style="thick">
        <color rgb="FF5B3FC2"/>
      </left>
      <right/>
      <top/>
      <bottom/>
      <diagonal/>
    </border>
    <border>
      <left style="thick">
        <color rgb="FF1F6FE0"/>
      </left>
      <right/>
      <top/>
      <bottom style="thin">
        <color rgb="FFD9E2EF"/>
      </bottom>
      <diagonal/>
    </border>
    <border>
      <left/>
      <right/>
      <top/>
      <bottom style="thin">
        <color rgb="FFD9E2EF"/>
      </bottom>
      <diagonal/>
    </border>
    <border>
      <left/>
      <right style="thin">
        <color rgb="FFD9E2EF"/>
      </right>
      <top/>
      <bottom style="thin">
        <color rgb="FFD9E2EF"/>
      </bottom>
      <diagonal/>
    </border>
    <border>
      <left style="thick">
        <color rgb="FF1E9E5A"/>
      </left>
      <right/>
      <top/>
      <bottom style="thin">
        <color rgb="FFD9E2EF"/>
      </bottom>
      <diagonal/>
    </border>
    <border>
      <left style="thick">
        <color rgb="FFB58B2A"/>
      </left>
      <right/>
      <top/>
      <bottom style="thin">
        <color rgb="FFD9E2EF"/>
      </bottom>
      <diagonal/>
    </border>
    <border>
      <left style="thick">
        <color rgb="FF5B3FC2"/>
      </left>
      <right/>
      <top/>
      <bottom style="thin">
        <color rgb="FFD9E2EF"/>
      </bottom>
      <diagonal/>
    </border>
    <border>
      <left style="thin">
        <color rgb="FFD9E2EF"/>
      </left>
      <right/>
      <top style="thin">
        <color rgb="FFD9E2EF"/>
      </top>
      <bottom style="thin">
        <color rgb="FFD9E2EF"/>
      </bottom>
      <diagonal/>
    </border>
    <border>
      <left/>
      <right style="thin">
        <color rgb="FFD9E2EF"/>
      </right>
      <top style="thin">
        <color rgb="FFD9E2EF"/>
      </top>
      <bottom style="thin">
        <color rgb="FFD9E2EF"/>
      </bottom>
      <diagonal/>
    </border>
    <border>
      <left style="thin">
        <color rgb="FF8FA8CC"/>
      </left>
      <right style="thin">
        <color rgb="FF8FA8CC"/>
      </right>
      <top style="thin">
        <color rgb="FF8FA8CC"/>
      </top>
      <bottom style="thin">
        <color rgb="FF8FA8CC"/>
      </bottom>
      <diagonal/>
    </border>
    <border>
      <left style="thin">
        <color rgb="FFD9E2EF"/>
      </left>
      <right style="thin">
        <color rgb="FFD9E2EF"/>
      </right>
      <top style="thin">
        <color rgb="FFD9E2EF"/>
      </top>
      <bottom/>
      <diagonal/>
    </border>
    <border>
      <left style="thin">
        <color rgb="FFD9E2EF"/>
      </left>
      <right/>
      <top/>
      <bottom/>
      <diagonal/>
    </border>
    <border>
      <left style="thin">
        <color rgb="FFD9E2EF"/>
      </left>
      <right/>
      <top/>
      <bottom style="thin">
        <color rgb="FFD9E2EF"/>
      </bottom>
      <diagonal/>
    </border>
    <border>
      <left style="thin">
        <color rgb="FFD9E2EF"/>
      </left>
      <right/>
      <top style="thin">
        <color rgb="FFD9E2EF"/>
      </top>
      <bottom/>
      <diagonal/>
    </border>
  </borders>
  <cellStyleXfs count="1">
    <xf numFmtId="0" fontId="0" fillId="0" borderId="0"/>
  </cellStyleXfs>
  <cellXfs count="11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2" xfId="0" applyFill="1" applyBorder="1"/>
    <xf numFmtId="0" fontId="0" fillId="6" borderId="5" xfId="0" applyFill="1" applyBorder="1"/>
    <xf numFmtId="0" fontId="0" fillId="8" borderId="6" xfId="0" applyFill="1" applyBorder="1"/>
    <xf numFmtId="0" fontId="0" fillId="10" borderId="7" xfId="0" applyFill="1" applyBorder="1"/>
    <xf numFmtId="0" fontId="0" fillId="5" borderId="8" xfId="0" applyFill="1" applyBorder="1"/>
    <xf numFmtId="0" fontId="0" fillId="6" borderId="10" xfId="0" applyFill="1" applyBorder="1"/>
    <xf numFmtId="0" fontId="0" fillId="8" borderId="11" xfId="0" applyFill="1" applyBorder="1"/>
    <xf numFmtId="0" fontId="0" fillId="10" borderId="12" xfId="0" applyFill="1" applyBorder="1"/>
    <xf numFmtId="0" fontId="0" fillId="5" borderId="13" xfId="0" applyFill="1" applyBorder="1"/>
    <xf numFmtId="0" fontId="0" fillId="5" borderId="14" xfId="0" applyFill="1" applyBorder="1"/>
    <xf numFmtId="0" fontId="0" fillId="6" borderId="16" xfId="0" applyFill="1" applyBorder="1"/>
    <xf numFmtId="0" fontId="0" fillId="6" borderId="14" xfId="0" applyFill="1" applyBorder="1"/>
    <xf numFmtId="0" fontId="0" fillId="8" borderId="17" xfId="0" applyFill="1" applyBorder="1"/>
    <xf numFmtId="0" fontId="0" fillId="8" borderId="14" xfId="0" applyFill="1" applyBorder="1"/>
    <xf numFmtId="0" fontId="0" fillId="10" borderId="18" xfId="0" applyFill="1" applyBorder="1"/>
    <xf numFmtId="0" fontId="0" fillId="10" borderId="14" xfId="0" applyFill="1" applyBorder="1"/>
    <xf numFmtId="0" fontId="0" fillId="13" borderId="3" xfId="0" applyFill="1" applyBorder="1"/>
    <xf numFmtId="0" fontId="0" fillId="13" borderId="4" xfId="0" applyFill="1" applyBorder="1"/>
    <xf numFmtId="0" fontId="0" fillId="13" borderId="0" xfId="0" applyFill="1" applyBorder="1"/>
    <xf numFmtId="0" fontId="0" fillId="13" borderId="9" xfId="0" applyFill="1" applyBorder="1"/>
    <xf numFmtId="0" fontId="0" fillId="13" borderId="14" xfId="0" applyFill="1" applyBorder="1"/>
    <xf numFmtId="0" fontId="0" fillId="13" borderId="15" xfId="0" applyFill="1" applyBorder="1"/>
    <xf numFmtId="0" fontId="0" fillId="12" borderId="23" xfId="0" applyFill="1" applyBorder="1"/>
    <xf numFmtId="0" fontId="0" fillId="12" borderId="0" xfId="0" applyFill="1" applyBorder="1"/>
    <xf numFmtId="0" fontId="0" fillId="12" borderId="9" xfId="0" applyFill="1" applyBorder="1"/>
    <xf numFmtId="0" fontId="0" fillId="12" borderId="24" xfId="0" applyFill="1" applyBorder="1"/>
    <xf numFmtId="0" fontId="0" fillId="12" borderId="14" xfId="0" applyFill="1" applyBorder="1"/>
    <xf numFmtId="0" fontId="0" fillId="12" borderId="15" xfId="0" applyFill="1" applyBorder="1"/>
    <xf numFmtId="0" fontId="2" fillId="4" borderId="0" xfId="0" applyFont="1" applyFill="1" applyAlignment="1">
      <alignment horizontal="center" vertical="center"/>
    </xf>
    <xf numFmtId="171" fontId="14" fillId="0" borderId="0" xfId="0" applyNumberFormat="1" applyFont="1"/>
    <xf numFmtId="0" fontId="14" fillId="0" borderId="0" xfId="0" applyFont="1"/>
    <xf numFmtId="3" fontId="14" fillId="0" borderId="0" xfId="0" applyNumberFormat="1" applyFont="1"/>
    <xf numFmtId="10" fontId="14" fillId="0" borderId="0" xfId="0" applyNumberFormat="1" applyFont="1"/>
    <xf numFmtId="166" fontId="14" fillId="0" borderId="0" xfId="0" applyNumberFormat="1" applyFont="1"/>
    <xf numFmtId="2" fontId="14" fillId="0" borderId="0" xfId="0" applyNumberFormat="1" applyFont="1"/>
    <xf numFmtId="0" fontId="11" fillId="0" borderId="0" xfId="0" applyFont="1"/>
    <xf numFmtId="0" fontId="15" fillId="0" borderId="0" xfId="0" applyFont="1"/>
    <xf numFmtId="0" fontId="2" fillId="4" borderId="0" xfId="0" applyFont="1" applyFill="1" applyAlignment="1">
      <alignment horizontal="center"/>
    </xf>
    <xf numFmtId="169" fontId="14" fillId="0" borderId="0" xfId="0" applyNumberFormat="1" applyFont="1"/>
    <xf numFmtId="170" fontId="14" fillId="0" borderId="0" xfId="0" applyNumberFormat="1" applyFont="1"/>
    <xf numFmtId="165" fontId="14" fillId="0" borderId="0" xfId="0" applyNumberFormat="1" applyFont="1"/>
    <xf numFmtId="0" fontId="17" fillId="0" borderId="0" xfId="0" applyFont="1"/>
    <xf numFmtId="0" fontId="2" fillId="16" borderId="23" xfId="0" applyFont="1" applyFill="1" applyBorder="1" applyAlignment="1">
      <alignment horizontal="center" vertical="center"/>
    </xf>
    <xf numFmtId="0" fontId="14" fillId="17" borderId="23" xfId="0" applyFont="1" applyFill="1" applyBorder="1" applyAlignment="1">
      <alignment horizontal="center" vertical="center"/>
    </xf>
    <xf numFmtId="0" fontId="14" fillId="12" borderId="23" xfId="0" applyFont="1" applyFill="1" applyBorder="1" applyAlignment="1">
      <alignment horizontal="center" vertical="center"/>
    </xf>
    <xf numFmtId="0" fontId="13" fillId="15" borderId="23" xfId="0" applyFont="1" applyFill="1" applyBorder="1" applyAlignment="1">
      <alignment horizontal="center" vertical="center"/>
    </xf>
    <xf numFmtId="0" fontId="12" fillId="12" borderId="9" xfId="0" applyFont="1" applyFill="1" applyBorder="1" applyAlignment="1">
      <alignment horizontal="left" vertical="center" indent="1"/>
    </xf>
    <xf numFmtId="0" fontId="18" fillId="12" borderId="9" xfId="0" applyFont="1" applyFill="1" applyBorder="1" applyAlignment="1">
      <alignment horizontal="left" vertical="top" wrapText="1" indent="1"/>
    </xf>
    <xf numFmtId="0" fontId="15" fillId="12" borderId="0" xfId="0" applyFont="1" applyFill="1" applyBorder="1" applyAlignment="1">
      <alignment horizontal="center" vertical="center"/>
    </xf>
    <xf numFmtId="0" fontId="14" fillId="12" borderId="0" xfId="0" applyFont="1" applyFill="1" applyBorder="1" applyAlignment="1">
      <alignment horizontal="center" vertical="center"/>
    </xf>
    <xf numFmtId="169" fontId="14" fillId="12" borderId="0" xfId="0" applyNumberFormat="1" applyFont="1" applyFill="1" applyBorder="1" applyAlignment="1">
      <alignment horizontal="center" vertical="center"/>
    </xf>
    <xf numFmtId="3" fontId="14" fillId="12" borderId="0" xfId="0" applyNumberFormat="1" applyFont="1" applyFill="1" applyBorder="1" applyAlignment="1">
      <alignment horizontal="center" vertical="center"/>
    </xf>
    <xf numFmtId="165" fontId="14" fillId="12" borderId="0" xfId="0" applyNumberFormat="1" applyFont="1" applyFill="1" applyBorder="1" applyAlignment="1">
      <alignment horizontal="center" vertical="center"/>
    </xf>
    <xf numFmtId="166" fontId="14" fillId="12" borderId="9" xfId="0" applyNumberFormat="1" applyFont="1" applyFill="1" applyBorder="1" applyAlignment="1">
      <alignment horizontal="center" vertical="center"/>
    </xf>
    <xf numFmtId="0" fontId="15" fillId="17" borderId="0" xfId="0" applyFont="1" applyFill="1" applyBorder="1" applyAlignment="1">
      <alignment horizontal="center" vertical="center"/>
    </xf>
    <xf numFmtId="0" fontId="14" fillId="17" borderId="0" xfId="0" applyFont="1" applyFill="1" applyBorder="1" applyAlignment="1">
      <alignment horizontal="center" vertical="center"/>
    </xf>
    <xf numFmtId="169" fontId="14" fillId="17" borderId="0" xfId="0" applyNumberFormat="1" applyFont="1" applyFill="1" applyBorder="1" applyAlignment="1">
      <alignment horizontal="center" vertical="center"/>
    </xf>
    <xf numFmtId="3" fontId="14" fillId="17" borderId="0" xfId="0" applyNumberFormat="1" applyFont="1" applyFill="1" applyBorder="1" applyAlignment="1">
      <alignment horizontal="center" vertical="center"/>
    </xf>
    <xf numFmtId="165" fontId="14" fillId="17" borderId="0" xfId="0" applyNumberFormat="1" applyFont="1" applyFill="1" applyBorder="1" applyAlignment="1">
      <alignment horizontal="center" vertical="center"/>
    </xf>
    <xf numFmtId="166" fontId="14" fillId="17" borderId="9" xfId="0" applyNumberFormat="1" applyFont="1" applyFill="1" applyBorder="1" applyAlignment="1">
      <alignment horizontal="center" vertical="center"/>
    </xf>
    <xf numFmtId="0" fontId="11" fillId="12" borderId="22" xfId="0" applyFont="1" applyFill="1" applyBorder="1" applyAlignment="1">
      <alignment horizontal="left" vertical="center" indent="1"/>
    </xf>
    <xf numFmtId="0" fontId="2" fillId="16" borderId="0" xfId="0" applyFont="1" applyFill="1" applyBorder="1" applyAlignment="1">
      <alignment horizontal="center" vertical="center"/>
    </xf>
    <xf numFmtId="0" fontId="2" fillId="16" borderId="9" xfId="0" applyFont="1" applyFill="1" applyBorder="1" applyAlignment="1">
      <alignment horizontal="center" vertical="center"/>
    </xf>
    <xf numFmtId="0" fontId="6" fillId="8" borderId="4" xfId="0" applyFont="1" applyFill="1" applyBorder="1" applyAlignment="1">
      <alignment horizontal="left" indent="1"/>
    </xf>
    <xf numFmtId="0" fontId="5" fillId="11" borderId="3" xfId="0" applyFont="1" applyFill="1" applyBorder="1" applyAlignment="1">
      <alignment horizontal="center" vertical="center"/>
    </xf>
    <xf numFmtId="0" fontId="6" fillId="10" borderId="4" xfId="0" applyFont="1" applyFill="1" applyBorder="1" applyAlignment="1">
      <alignment horizontal="left" indent="1"/>
    </xf>
    <xf numFmtId="164" fontId="7" fillId="5" borderId="9" xfId="0" applyNumberFormat="1" applyFont="1" applyFill="1" applyBorder="1" applyAlignment="1">
      <alignment horizontal="left" vertical="center" indent="1"/>
    </xf>
    <xf numFmtId="164" fontId="7" fillId="6" borderId="9" xfId="0" applyNumberFormat="1" applyFont="1" applyFill="1" applyBorder="1" applyAlignment="1">
      <alignment horizontal="left" vertical="center" indent="1"/>
    </xf>
    <xf numFmtId="165" fontId="7" fillId="5" borderId="9" xfId="0" applyNumberFormat="1" applyFont="1" applyFill="1" applyBorder="1" applyAlignment="1">
      <alignment horizontal="left" vertical="center" indent="1"/>
    </xf>
    <xf numFmtId="166" fontId="7" fillId="8" borderId="9" xfId="0" applyNumberFormat="1" applyFont="1" applyFill="1" applyBorder="1" applyAlignment="1">
      <alignment horizontal="left" vertical="center" indent="1"/>
    </xf>
    <xf numFmtId="3" fontId="7" fillId="10" borderId="9" xfId="0" applyNumberFormat="1" applyFont="1" applyFill="1" applyBorder="1" applyAlignment="1">
      <alignment horizontal="left" vertical="center" indent="1"/>
    </xf>
    <xf numFmtId="0" fontId="3" fillId="4" borderId="1" xfId="0" applyFont="1" applyFill="1" applyBorder="1" applyAlignment="1">
      <alignment horizontal="left" vertical="center" wrapText="1" indent="1"/>
    </xf>
    <xf numFmtId="0" fontId="1" fillId="4" borderId="0" xfId="0" applyFont="1" applyFill="1" applyBorder="1" applyAlignment="1">
      <alignment horizontal="left" vertical="center" indent="1"/>
    </xf>
    <xf numFmtId="0" fontId="2" fillId="4" borderId="0" xfId="0" applyFont="1" applyFill="1" applyBorder="1" applyAlignment="1">
      <alignment horizontal="center" vertical="center" wrapText="1"/>
    </xf>
    <xf numFmtId="0" fontId="4" fillId="4" borderId="0" xfId="0" applyFont="1" applyFill="1" applyBorder="1" applyAlignment="1">
      <alignment horizontal="left" vertical="center" indent="1"/>
    </xf>
    <xf numFmtId="0" fontId="5" fillId="3" borderId="3" xfId="0" applyFont="1" applyFill="1" applyBorder="1" applyAlignment="1">
      <alignment horizontal="center" vertical="center"/>
    </xf>
    <xf numFmtId="0" fontId="6" fillId="5" borderId="4" xfId="0" applyFont="1" applyFill="1" applyBorder="1" applyAlignment="1">
      <alignment horizontal="left" indent="1"/>
    </xf>
    <xf numFmtId="0" fontId="5" fillId="7" borderId="3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left" indent="1"/>
    </xf>
    <xf numFmtId="0" fontId="5" fillId="9" borderId="3" xfId="0" applyFont="1" applyFill="1" applyBorder="1" applyAlignment="1">
      <alignment horizontal="center" vertical="center"/>
    </xf>
    <xf numFmtId="0" fontId="9" fillId="10" borderId="15" xfId="0" applyFont="1" applyFill="1" applyBorder="1" applyAlignment="1">
      <alignment horizontal="left" vertical="center"/>
    </xf>
    <xf numFmtId="0" fontId="10" fillId="12" borderId="19" xfId="0" applyFont="1" applyFill="1" applyBorder="1" applyAlignment="1">
      <alignment horizontal="left" vertical="center" indent="1"/>
    </xf>
    <xf numFmtId="168" fontId="11" fillId="12" borderId="20" xfId="0" applyNumberFormat="1" applyFont="1" applyFill="1" applyBorder="1" applyAlignment="1">
      <alignment horizontal="right" vertical="center" indent="1"/>
    </xf>
    <xf numFmtId="10" fontId="11" fillId="12" borderId="20" xfId="0" applyNumberFormat="1" applyFont="1" applyFill="1" applyBorder="1" applyAlignment="1">
      <alignment horizontal="right" vertical="center" indent="1"/>
    </xf>
    <xf numFmtId="166" fontId="11" fillId="12" borderId="20" xfId="0" applyNumberFormat="1" applyFont="1" applyFill="1" applyBorder="1" applyAlignment="1">
      <alignment horizontal="right" vertical="center" indent="1"/>
    </xf>
    <xf numFmtId="167" fontId="8" fillId="5" borderId="14" xfId="0" applyNumberFormat="1" applyFont="1" applyFill="1" applyBorder="1" applyAlignment="1">
      <alignment horizontal="left" vertical="center" indent="1"/>
    </xf>
    <xf numFmtId="0" fontId="9" fillId="5" borderId="15" xfId="0" applyFont="1" applyFill="1" applyBorder="1" applyAlignment="1">
      <alignment horizontal="left" vertical="center"/>
    </xf>
    <xf numFmtId="167" fontId="8" fillId="6" borderId="14" xfId="0" applyNumberFormat="1" applyFont="1" applyFill="1" applyBorder="1" applyAlignment="1">
      <alignment horizontal="left" vertical="center" indent="1"/>
    </xf>
    <xf numFmtId="0" fontId="9" fillId="6" borderId="15" xfId="0" applyFont="1" applyFill="1" applyBorder="1" applyAlignment="1">
      <alignment horizontal="left" vertical="center"/>
    </xf>
    <xf numFmtId="167" fontId="8" fillId="8" borderId="14" xfId="0" applyNumberFormat="1" applyFont="1" applyFill="1" applyBorder="1" applyAlignment="1">
      <alignment horizontal="left" vertical="center" indent="1"/>
    </xf>
    <xf numFmtId="0" fontId="9" fillId="8" borderId="15" xfId="0" applyFont="1" applyFill="1" applyBorder="1" applyAlignment="1">
      <alignment horizontal="left" vertical="center"/>
    </xf>
    <xf numFmtId="167" fontId="8" fillId="10" borderId="14" xfId="0" applyNumberFormat="1" applyFont="1" applyFill="1" applyBorder="1" applyAlignment="1">
      <alignment horizontal="left" vertical="center" indent="1"/>
    </xf>
    <xf numFmtId="0" fontId="12" fillId="13" borderId="19" xfId="0" applyFont="1" applyFill="1" applyBorder="1" applyAlignment="1">
      <alignment horizontal="left" vertical="center" wrapText="1" indent="1"/>
    </xf>
    <xf numFmtId="0" fontId="6" fillId="13" borderId="0" xfId="0" applyFont="1" applyFill="1" applyBorder="1" applyAlignment="1">
      <alignment horizontal="left" indent="1"/>
    </xf>
    <xf numFmtId="0" fontId="12" fillId="12" borderId="21" xfId="0" applyFont="1" applyFill="1" applyBorder="1" applyAlignment="1">
      <alignment horizontal="left" vertical="center" indent="1"/>
    </xf>
    <xf numFmtId="0" fontId="18" fillId="12" borderId="0" xfId="0" applyFont="1" applyFill="1" applyBorder="1" applyAlignment="1">
      <alignment horizontal="left" vertical="top" wrapText="1" indent="1"/>
    </xf>
    <xf numFmtId="0" fontId="12" fillId="12" borderId="0" xfId="0" applyFont="1" applyFill="1" applyBorder="1" applyAlignment="1">
      <alignment horizontal="left" vertical="center" indent="1"/>
    </xf>
    <xf numFmtId="0" fontId="16" fillId="12" borderId="23" xfId="0" applyFont="1" applyFill="1" applyBorder="1" applyAlignment="1">
      <alignment horizontal="left" vertical="center" wrapText="1" indent="1"/>
    </xf>
    <xf numFmtId="0" fontId="16" fillId="12" borderId="0" xfId="0" applyFont="1" applyFill="1" applyBorder="1" applyAlignment="1">
      <alignment horizontal="left" vertical="center" wrapText="1" indent="1"/>
    </xf>
    <xf numFmtId="0" fontId="16" fillId="12" borderId="9" xfId="0" applyFont="1" applyFill="1" applyBorder="1" applyAlignment="1">
      <alignment horizontal="left" vertical="center" wrapText="1" indent="1"/>
    </xf>
    <xf numFmtId="0" fontId="16" fillId="12" borderId="24" xfId="0" applyFont="1" applyFill="1" applyBorder="1" applyAlignment="1">
      <alignment horizontal="left" vertical="center" wrapText="1" indent="1"/>
    </xf>
    <xf numFmtId="0" fontId="16" fillId="12" borderId="14" xfId="0" applyFont="1" applyFill="1" applyBorder="1" applyAlignment="1">
      <alignment horizontal="left" vertical="center" wrapText="1" indent="1"/>
    </xf>
    <xf numFmtId="0" fontId="16" fillId="12" borderId="15" xfId="0" applyFont="1" applyFill="1" applyBorder="1" applyAlignment="1">
      <alignment horizontal="left" vertical="center" wrapText="1" indent="1"/>
    </xf>
    <xf numFmtId="166" fontId="14" fillId="12" borderId="0" xfId="0" applyNumberFormat="1" applyFont="1" applyFill="1" applyBorder="1" applyAlignment="1">
      <alignment horizontal="center" vertical="center"/>
    </xf>
    <xf numFmtId="166" fontId="14" fillId="17" borderId="0" xfId="0" applyNumberFormat="1" applyFont="1" applyFill="1" applyBorder="1" applyAlignment="1">
      <alignment horizontal="center" vertical="center"/>
    </xf>
    <xf numFmtId="0" fontId="11" fillId="12" borderId="25" xfId="0" applyFont="1" applyFill="1" applyBorder="1" applyAlignment="1">
      <alignment horizontal="left" vertical="center" indent="1"/>
    </xf>
    <xf numFmtId="0" fontId="11" fillId="12" borderId="3" xfId="0" applyFont="1" applyFill="1" applyBorder="1" applyAlignment="1">
      <alignment horizontal="left" vertical="center" indent="1"/>
    </xf>
    <xf numFmtId="0" fontId="11" fillId="12" borderId="4" xfId="0" applyFont="1" applyFill="1" applyBorder="1" applyAlignment="1">
      <alignment horizontal="left" vertical="center" indent="1"/>
    </xf>
    <xf numFmtId="0" fontId="11" fillId="14" borderId="25" xfId="0" applyFont="1" applyFill="1" applyBorder="1" applyAlignment="1">
      <alignment horizontal="left" vertical="center" indent="1"/>
    </xf>
    <xf numFmtId="0" fontId="11" fillId="14" borderId="3" xfId="0" applyFont="1" applyFill="1" applyBorder="1" applyAlignment="1">
      <alignment horizontal="left" vertical="center" indent="1"/>
    </xf>
    <xf numFmtId="0" fontId="11" fillId="14" borderId="4" xfId="0" applyFont="1" applyFill="1" applyBorder="1" applyAlignment="1">
      <alignment horizontal="left" vertical="center" indent="1"/>
    </xf>
  </cellXfs>
  <cellStyles count="1">
    <cellStyle name="Normal" xfId="0" builtinId="0"/>
  </cellStyles>
  <dxfs count="14">
    <dxf>
      <font>
        <b/>
        <color rgb="FFD93B3B"/>
        <name val="Arial"/>
        <charset val="1"/>
      </font>
    </dxf>
    <dxf>
      <font>
        <b/>
        <color rgb="FF1E9E5A"/>
        <name val="Arial"/>
        <charset val="1"/>
      </font>
    </dxf>
    <dxf>
      <font>
        <b/>
        <color rgb="FFD93B3B"/>
        <name val="Arial"/>
        <charset val="1"/>
      </font>
    </dxf>
    <dxf>
      <font>
        <b/>
        <color rgb="FF1E9E5A"/>
        <name val="Arial"/>
        <charset val="1"/>
      </font>
    </dxf>
    <dxf>
      <font>
        <b/>
        <color rgb="FFD93B3B"/>
        <name val="Arial"/>
        <charset val="1"/>
      </font>
    </dxf>
    <dxf>
      <font>
        <b/>
        <color rgb="FF1E9E5A"/>
        <name val="Arial"/>
        <charset val="1"/>
      </font>
    </dxf>
    <dxf>
      <font>
        <b/>
        <color rgb="FFD93B3B"/>
        <name val="Arial"/>
        <charset val="1"/>
      </font>
    </dxf>
    <dxf>
      <font>
        <b/>
        <color rgb="FF1E9E5A"/>
        <name val="Arial"/>
        <charset val="1"/>
      </font>
    </dxf>
    <dxf>
      <font>
        <b/>
        <color rgb="FFD93B3B"/>
        <name val="Arial"/>
        <charset val="1"/>
      </font>
    </dxf>
    <dxf>
      <font>
        <b/>
        <color rgb="FF1E9E5A"/>
        <name val="Arial"/>
        <charset val="1"/>
      </font>
    </dxf>
    <dxf>
      <font>
        <b/>
        <color rgb="FFD93B3B"/>
        <name val="Arial"/>
        <charset val="1"/>
      </font>
    </dxf>
    <dxf>
      <font>
        <b/>
        <color rgb="FF1E9E5A"/>
        <name val="Arial"/>
        <charset val="1"/>
      </font>
    </dxf>
    <dxf>
      <font>
        <b/>
        <color rgb="FFD93B3B"/>
        <name val="Arial"/>
        <charset val="1"/>
      </font>
    </dxf>
    <dxf>
      <font>
        <b/>
        <color rgb="FF1E9E5A"/>
        <name val="Arial"/>
        <charset val="1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E6ECF5"/>
      <rgbColor rgb="FFFF00FF"/>
      <rgbColor rgb="FF00FFFF"/>
      <rgbColor rgb="FF800000"/>
      <rgbColor rgb="FF008000"/>
      <rgbColor rgb="FF000080"/>
      <rgbColor rgb="FFB58B2A"/>
      <rgbColor rgb="FF800080"/>
      <rgbColor rgb="FF4F81BD"/>
      <rgbColor rgb="FFC9D3E0"/>
      <rgbColor rgb="FF6B7A90"/>
      <rgbColor rgb="FF8FA8CC"/>
      <rgbColor rgb="FFD93B3B"/>
      <rgbColor rgb="FFFBF3E2"/>
      <rgbColor rgb="FFE6F6EE"/>
      <rgbColor rgb="FF660066"/>
      <rgbColor rgb="FFE8F1FB"/>
      <rgbColor rgb="FF3D5A80"/>
      <rgbColor rgb="FFC9D8F0"/>
      <rgbColor rgb="FF000080"/>
      <rgbColor rgb="FFFF00FF"/>
      <rgbColor rgb="FFEEF3FA"/>
      <rgbColor rgb="FF00FFFF"/>
      <rgbColor rgb="FF800080"/>
      <rgbColor rgb="FF800000"/>
      <rgbColor rgb="FF5B7BAE"/>
      <rgbColor rgb="FF0000FF"/>
      <rgbColor rgb="FF00CCFF"/>
      <rgbColor rgb="FFE1ECFA"/>
      <rgbColor rgb="FFDCE9F8"/>
      <rgbColor rgb="FFF1F5FA"/>
      <rgbColor rgb="FFDCE7F7"/>
      <rgbColor rgb="FFEFEBFB"/>
      <rgbColor rgb="FF5B9BF0"/>
      <rgbColor rgb="FFD9E2EF"/>
      <rgbColor rgb="FF1F6FE0"/>
      <rgbColor rgb="FF4FA3F7"/>
      <rgbColor rgb="FF99CC00"/>
      <rgbColor rgb="FFE3ECF8"/>
      <rgbColor rgb="FFFF9900"/>
      <rgbColor rgb="FFFF6600"/>
      <rgbColor rgb="FF5B6B82"/>
      <rgbColor rgb="FF8896AB"/>
      <rgbColor rgb="FF0F2D57"/>
      <rgbColor rgb="FF1E9E5A"/>
      <rgbColor rgb="FF003300"/>
      <rgbColor rgb="FF1B2A41"/>
      <rgbColor rgb="FF993300"/>
      <rgbColor rgb="FF5B3FC2"/>
      <rgbColor rgb="FF14325E"/>
      <rgbColor rgb="FF2F3E55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v>Ad Spend</c:v>
          </c:tx>
          <c:spPr>
            <a:ln w="28440">
              <a:solidFill>
                <a:srgbClr val="0F2D57"/>
              </a:solidFill>
              <a:round/>
            </a:ln>
          </c:spPr>
          <c:marker>
            <c:symbol val="circle"/>
            <c:size val="6"/>
            <c:spPr>
              <a:solidFill>
                <a:srgbClr val="0F2D57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Calc!$A$72:$A$83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Calc!$D$72:$D$83</c:f>
              <c:numCache>
                <c:formatCode>\$#,##0</c:formatCode>
                <c:ptCount val="12"/>
                <c:pt idx="0">
                  <c:v>901735.06000000052</c:v>
                </c:pt>
                <c:pt idx="1">
                  <c:v>988588.35999999987</c:v>
                </c:pt>
                <c:pt idx="2">
                  <c:v>837915.28000000061</c:v>
                </c:pt>
                <c:pt idx="3">
                  <c:v>1032895.8999999997</c:v>
                </c:pt>
                <c:pt idx="4">
                  <c:v>904564.25999999943</c:v>
                </c:pt>
                <c:pt idx="5">
                  <c:v>966952.75999999989</c:v>
                </c:pt>
                <c:pt idx="6">
                  <c:v>797918.1399999999</c:v>
                </c:pt>
                <c:pt idx="7">
                  <c:v>819622.04999999958</c:v>
                </c:pt>
                <c:pt idx="8">
                  <c:v>1010523.0399999998</c:v>
                </c:pt>
                <c:pt idx="9">
                  <c:v>868099.26000000013</c:v>
                </c:pt>
                <c:pt idx="10">
                  <c:v>882564.99000000022</c:v>
                </c:pt>
                <c:pt idx="11">
                  <c:v>1097369.9899999995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A8-4DD8-AB78-488F9A09721C}"/>
            </c:ext>
          </c:extLst>
        </c:ser>
        <c:ser>
          <c:idx val="1"/>
          <c:order val="1"/>
          <c:tx>
            <c:v>Revenue</c:v>
          </c:tx>
          <c:spPr>
            <a:ln w="28440">
              <a:solidFill>
                <a:srgbClr val="5B9BF0"/>
              </a:solidFill>
              <a:round/>
            </a:ln>
          </c:spPr>
          <c:marker>
            <c:symbol val="circle"/>
            <c:size val="6"/>
            <c:spPr>
              <a:solidFill>
                <a:srgbClr val="5B9BF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Calc!$A$72:$A$83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Calc!$E$72:$E$83</c:f>
              <c:numCache>
                <c:formatCode>\$#,##0</c:formatCode>
                <c:ptCount val="12"/>
                <c:pt idx="0">
                  <c:v>4691994.4700000016</c:v>
                </c:pt>
                <c:pt idx="1">
                  <c:v>4749203.459999999</c:v>
                </c:pt>
                <c:pt idx="2">
                  <c:v>4407519.3800000027</c:v>
                </c:pt>
                <c:pt idx="3">
                  <c:v>5143463.57</c:v>
                </c:pt>
                <c:pt idx="4">
                  <c:v>3768913.3599999994</c:v>
                </c:pt>
                <c:pt idx="5">
                  <c:v>4362176.3099999996</c:v>
                </c:pt>
                <c:pt idx="6">
                  <c:v>3695093.9700000021</c:v>
                </c:pt>
                <c:pt idx="7">
                  <c:v>4301659.2600000016</c:v>
                </c:pt>
                <c:pt idx="8">
                  <c:v>4749430.2700000005</c:v>
                </c:pt>
                <c:pt idx="9">
                  <c:v>4670520.6799999978</c:v>
                </c:pt>
                <c:pt idx="10">
                  <c:v>4484002.7500000028</c:v>
                </c:pt>
                <c:pt idx="11">
                  <c:v>5159353.3300000019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A8-4DD8-AB78-488F9A0972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56802045"/>
        <c:axId val="89915270"/>
      </c:lineChart>
      <c:catAx>
        <c:axId val="5680204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C9D3E0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B6B82"/>
                </a:solidFill>
                <a:latin typeface="Arial"/>
              </a:defRPr>
            </a:pPr>
            <a:endParaRPr lang="en-US"/>
          </a:p>
        </c:txPr>
        <c:crossAx val="89915270"/>
        <c:crosses val="autoZero"/>
        <c:auto val="1"/>
        <c:lblAlgn val="ctr"/>
        <c:lblOffset val="100"/>
        <c:noMultiLvlLbl val="0"/>
      </c:catAx>
      <c:valAx>
        <c:axId val="89915270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E6ECF5"/>
              </a:solidFill>
              <a:round/>
            </a:ln>
          </c:spPr>
        </c:majorGridlines>
        <c:numFmt formatCode="\$0.0,,\M" sourceLinked="0"/>
        <c:majorTickMark val="none"/>
        <c:minorTickMark val="none"/>
        <c:tickLblPos val="nextTo"/>
        <c:spPr>
          <a:ln w="9360">
            <a:solidFill>
              <a:srgbClr val="C9D3E0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B6B82"/>
                </a:solidFill>
                <a:latin typeface="Arial"/>
              </a:defRPr>
            </a:pPr>
            <a:endParaRPr lang="en-US"/>
          </a:p>
        </c:txPr>
        <c:crossAx val="56802045"/>
        <c:crosses val="autoZero"/>
        <c:crossBetween val="between"/>
      </c:valAx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1B2A41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ROAS</c:v>
          </c:tx>
          <c:spPr>
            <a:solidFill>
              <a:srgbClr val="1F6FE0"/>
            </a:solidFill>
            <a:ln w="0">
              <a:noFill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0F2D57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14BB-40B9-856C-4CE0EF4C4DE8}"/>
              </c:ext>
            </c:extLst>
          </c:dPt>
          <c:dPt>
            <c:idx val="1"/>
            <c:invertIfNegative val="0"/>
            <c:bubble3D val="0"/>
            <c:spPr>
              <a:solidFill>
                <a:srgbClr val="4FA3F7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14BB-40B9-856C-4CE0EF4C4DE8}"/>
              </c:ext>
            </c:extLst>
          </c:dPt>
          <c:dPt>
            <c:idx val="2"/>
            <c:invertIfNegative val="0"/>
            <c:bubble3D val="0"/>
            <c:spPr>
              <a:solidFill>
                <a:srgbClr val="1F6FE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14BB-40B9-856C-4CE0EF4C4DE8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1B2A41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4BB-40B9-856C-4CE0EF4C4DE8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1B2A41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4BB-40B9-856C-4CE0EF4C4DE8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1B2A41"/>
                      </a:solidFill>
                      <a:latin typeface="Arial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4BB-40B9-856C-4CE0EF4C4DE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1" strike="noStrike" spc="-1">
                    <a:solidFill>
                      <a:srgbClr val="1B2A41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Calc!$A$34:$A$36</c:f>
              <c:strCache>
                <c:ptCount val="3"/>
                <c:pt idx="0">
                  <c:v>Google Ads</c:v>
                </c:pt>
                <c:pt idx="1">
                  <c:v>Meta Ads</c:v>
                </c:pt>
                <c:pt idx="2">
                  <c:v>TikTok Ads</c:v>
                </c:pt>
              </c:strCache>
            </c:strRef>
          </c:cat>
          <c:val>
            <c:numRef>
              <c:f>Calc!$E$34:$E$36</c:f>
              <c:numCache>
                <c:formatCode>0.00\x</c:formatCode>
                <c:ptCount val="3"/>
                <c:pt idx="0">
                  <c:v>3.4702806358220579</c:v>
                </c:pt>
                <c:pt idx="1">
                  <c:v>5.662723917291558</c:v>
                </c:pt>
                <c:pt idx="2">
                  <c:v>7.6216925425759561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4BB-40B9-856C-4CE0EF4C4D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20313892"/>
        <c:axId val="38455634"/>
      </c:barChart>
      <c:catAx>
        <c:axId val="203138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C9D3E0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B6B82"/>
                </a:solidFill>
                <a:latin typeface="Arial"/>
              </a:defRPr>
            </a:pPr>
            <a:endParaRPr lang="en-US"/>
          </a:p>
        </c:txPr>
        <c:crossAx val="38455634"/>
        <c:crosses val="autoZero"/>
        <c:auto val="1"/>
        <c:lblAlgn val="ctr"/>
        <c:lblOffset val="100"/>
        <c:noMultiLvlLbl val="0"/>
      </c:catAx>
      <c:valAx>
        <c:axId val="38455634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E6ECF5"/>
              </a:solidFill>
              <a:round/>
            </a:ln>
          </c:spPr>
        </c:majorGridlines>
        <c:numFmt formatCode="0.0\x" sourceLinked="0"/>
        <c:majorTickMark val="none"/>
        <c:minorTickMark val="none"/>
        <c:tickLblPos val="nextTo"/>
        <c:spPr>
          <a:ln w="9360">
            <a:solidFill>
              <a:srgbClr val="C9D3E0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B6B82"/>
                </a:solidFill>
                <a:latin typeface="Arial"/>
              </a:defRPr>
            </a:pPr>
            <a:endParaRPr lang="en-US"/>
          </a:p>
        </c:txPr>
        <c:crossAx val="20313892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doughnutChart>
        <c:varyColors val="1"/>
        <c:ser>
          <c:idx val="0"/>
          <c:order val="0"/>
          <c:tx>
            <c:v>Ad Spend</c:v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0F2D57"/>
              </a:solidFill>
              <a:ln w="190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0F4E-4E4A-90FC-BB03944D27C1}"/>
              </c:ext>
            </c:extLst>
          </c:dPt>
          <c:dPt>
            <c:idx val="1"/>
            <c:bubble3D val="0"/>
            <c:spPr>
              <a:solidFill>
                <a:srgbClr val="4FA3F7"/>
              </a:solidFill>
              <a:ln w="190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0F4E-4E4A-90FC-BB03944D27C1}"/>
              </c:ext>
            </c:extLst>
          </c:dPt>
          <c:dPt>
            <c:idx val="2"/>
            <c:bubble3D val="0"/>
            <c:spPr>
              <a:solidFill>
                <a:srgbClr val="1F6FE0"/>
              </a:solidFill>
              <a:ln w="190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5-0F4E-4E4A-90FC-BB03944D27C1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1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0F4E-4E4A-90FC-BB03944D27C1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1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F4E-4E4A-90FC-BB03944D27C1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1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F4E-4E4A-90FC-BB03944D27C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1" strike="noStrike" spc="-1">
                    <a:solidFill>
                      <a:srgbClr val="FFFFFF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Calc!$A$34:$A$36</c:f>
              <c:strCache>
                <c:ptCount val="3"/>
                <c:pt idx="0">
                  <c:v>Google Ads</c:v>
                </c:pt>
                <c:pt idx="1">
                  <c:v>Meta Ads</c:v>
                </c:pt>
                <c:pt idx="2">
                  <c:v>TikTok Ads</c:v>
                </c:pt>
              </c:strCache>
            </c:strRef>
          </c:cat>
          <c:val>
            <c:numRef>
              <c:f>Calc!$B$34:$B$36</c:f>
              <c:numCache>
                <c:formatCode>\$#,##0</c:formatCode>
                <c:ptCount val="3"/>
                <c:pt idx="0">
                  <c:v>6349268.910000002</c:v>
                </c:pt>
                <c:pt idx="1">
                  <c:v>2106061.6699999971</c:v>
                </c:pt>
                <c:pt idx="2">
                  <c:v>2653418.5099999993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F4E-4E4A-90FC-BB03944D27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1B2A41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v>v</c:v>
          </c:tx>
          <c:spPr>
            <a:solidFill>
              <a:srgbClr val="1F6FE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1" strike="noStrike" spc="-1">
                    <a:solidFill>
                      <a:srgbClr val="1B2A41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Calc!$J$43:$J$47</c:f>
              <c:strCache>
                <c:ptCount val="5"/>
                <c:pt idx="0">
                  <c:v>SaaS</c:v>
                </c:pt>
                <c:pt idx="1">
                  <c:v>EdTech</c:v>
                </c:pt>
                <c:pt idx="2">
                  <c:v>E-commerce</c:v>
                </c:pt>
                <c:pt idx="3">
                  <c:v>Healthcare</c:v>
                </c:pt>
                <c:pt idx="4">
                  <c:v>Fintech</c:v>
                </c:pt>
              </c:strCache>
            </c:strRef>
          </c:cat>
          <c:val>
            <c:numRef>
              <c:f>Calc!$K$43:$K$47</c:f>
              <c:numCache>
                <c:formatCode>0.00\x</c:formatCode>
                <c:ptCount val="5"/>
                <c:pt idx="0">
                  <c:v>5.0441906626720749</c:v>
                </c:pt>
                <c:pt idx="1">
                  <c:v>5.028316255216879</c:v>
                </c:pt>
                <c:pt idx="2">
                  <c:v>5.0090147642779375</c:v>
                </c:pt>
                <c:pt idx="3">
                  <c:v>4.8394615745969425</c:v>
                </c:pt>
                <c:pt idx="4">
                  <c:v>4.4786010356077126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F0-4657-8B73-40C55103B6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86500584"/>
        <c:axId val="44740687"/>
      </c:barChart>
      <c:catAx>
        <c:axId val="8650058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C9D3E0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B6B82"/>
                </a:solidFill>
                <a:latin typeface="Arial"/>
              </a:defRPr>
            </a:pPr>
            <a:endParaRPr lang="en-US"/>
          </a:p>
        </c:txPr>
        <c:crossAx val="44740687"/>
        <c:crosses val="autoZero"/>
        <c:auto val="1"/>
        <c:lblAlgn val="ctr"/>
        <c:lblOffset val="100"/>
        <c:noMultiLvlLbl val="0"/>
      </c:catAx>
      <c:valAx>
        <c:axId val="44740687"/>
        <c:scaling>
          <c:orientation val="minMax"/>
        </c:scaling>
        <c:delete val="1"/>
        <c:axPos val="t"/>
        <c:numFmt formatCode="0.00\x" sourceLinked="1"/>
        <c:majorTickMark val="none"/>
        <c:minorTickMark val="none"/>
        <c:tickLblPos val="nextTo"/>
        <c:crossAx val="8650058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v>v</c:v>
          </c:tx>
          <c:spPr>
            <a:solidFill>
              <a:srgbClr val="5B9BF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1" strike="noStrike" spc="-1">
                    <a:solidFill>
                      <a:srgbClr val="1B2A41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Calc!$J$52:$J$58</c:f>
              <c:strCache>
                <c:ptCount val="7"/>
                <c:pt idx="0">
                  <c:v>USA</c:v>
                </c:pt>
                <c:pt idx="1">
                  <c:v>Canada</c:v>
                </c:pt>
                <c:pt idx="2">
                  <c:v>Germany</c:v>
                </c:pt>
                <c:pt idx="3">
                  <c:v>Australia</c:v>
                </c:pt>
                <c:pt idx="4">
                  <c:v>UAE</c:v>
                </c:pt>
                <c:pt idx="5">
                  <c:v>UK</c:v>
                </c:pt>
                <c:pt idx="6">
                  <c:v>India</c:v>
                </c:pt>
              </c:strCache>
            </c:strRef>
          </c:cat>
          <c:val>
            <c:numRef>
              <c:f>Calc!$K$52:$K$58</c:f>
              <c:numCache>
                <c:formatCode>\$#,##0.00</c:formatCode>
                <c:ptCount val="7"/>
                <c:pt idx="0">
                  <c:v>36.007896744341181</c:v>
                </c:pt>
                <c:pt idx="1">
                  <c:v>35.535379192526428</c:v>
                </c:pt>
                <c:pt idx="2">
                  <c:v>34.646671059685474</c:v>
                </c:pt>
                <c:pt idx="3">
                  <c:v>34.582505395801078</c:v>
                </c:pt>
                <c:pt idx="4">
                  <c:v>33.3990553314717</c:v>
                </c:pt>
                <c:pt idx="5">
                  <c:v>33.029193458861705</c:v>
                </c:pt>
                <c:pt idx="6">
                  <c:v>30.764037889965145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13-4050-90A4-ADD3ECD87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axId val="55754704"/>
        <c:axId val="25224285"/>
      </c:barChart>
      <c:catAx>
        <c:axId val="5575470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C9D3E0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B6B82"/>
                </a:solidFill>
                <a:latin typeface="Arial"/>
              </a:defRPr>
            </a:pPr>
            <a:endParaRPr lang="en-US"/>
          </a:p>
        </c:txPr>
        <c:crossAx val="25224285"/>
        <c:crosses val="autoZero"/>
        <c:auto val="1"/>
        <c:lblAlgn val="ctr"/>
        <c:lblOffset val="100"/>
        <c:noMultiLvlLbl val="0"/>
      </c:catAx>
      <c:valAx>
        <c:axId val="25224285"/>
        <c:scaling>
          <c:orientation val="minMax"/>
        </c:scaling>
        <c:delete val="1"/>
        <c:axPos val="t"/>
        <c:numFmt formatCode="\$#,##0.00" sourceLinked="1"/>
        <c:majorTickMark val="none"/>
        <c:minorTickMark val="none"/>
        <c:tickLblPos val="nextTo"/>
        <c:crossAx val="5575470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CTR</c:v>
          </c:tx>
          <c:spPr>
            <a:solidFill>
              <a:srgbClr val="1F6FE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1" strike="noStrike" spc="-1">
                    <a:solidFill>
                      <a:srgbClr val="1B2A41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Calc!$A$63:$A$66</c:f>
              <c:strCache>
                <c:ptCount val="4"/>
                <c:pt idx="0">
                  <c:v>Display</c:v>
                </c:pt>
                <c:pt idx="1">
                  <c:v>Search</c:v>
                </c:pt>
                <c:pt idx="2">
                  <c:v>Shopping</c:v>
                </c:pt>
                <c:pt idx="3">
                  <c:v>Video</c:v>
                </c:pt>
              </c:strCache>
            </c:strRef>
          </c:cat>
          <c:val>
            <c:numRef>
              <c:f>Calc!$D$63:$D$66</c:f>
              <c:numCache>
                <c:formatCode>0.00%</c:formatCode>
                <c:ptCount val="4"/>
                <c:pt idx="0">
                  <c:v>3.7675445115866991E-2</c:v>
                </c:pt>
                <c:pt idx="1">
                  <c:v>3.9925291003844295E-2</c:v>
                </c:pt>
                <c:pt idx="2">
                  <c:v>3.8415211520892591E-2</c:v>
                </c:pt>
                <c:pt idx="3">
                  <c:v>3.7925349754109106E-2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DE-4852-A8DA-925CDED25D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59071764"/>
        <c:axId val="51529570"/>
      </c:barChart>
      <c:catAx>
        <c:axId val="590717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C9D3E0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B6B82"/>
                </a:solidFill>
                <a:latin typeface="Arial"/>
              </a:defRPr>
            </a:pPr>
            <a:endParaRPr lang="en-US"/>
          </a:p>
        </c:txPr>
        <c:crossAx val="51529570"/>
        <c:crosses val="autoZero"/>
        <c:auto val="1"/>
        <c:lblAlgn val="ctr"/>
        <c:lblOffset val="100"/>
        <c:noMultiLvlLbl val="0"/>
      </c:catAx>
      <c:valAx>
        <c:axId val="51529570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E6ECF5"/>
              </a:solidFill>
              <a:round/>
            </a:ln>
          </c:spPr>
        </c:majorGridlines>
        <c:numFmt formatCode="0.0%" sourceLinked="0"/>
        <c:majorTickMark val="none"/>
        <c:minorTickMark val="none"/>
        <c:tickLblPos val="nextTo"/>
        <c:spPr>
          <a:ln w="9360">
            <a:solidFill>
              <a:srgbClr val="C9D3E0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B6B82"/>
                </a:solidFill>
                <a:latin typeface="Arial"/>
              </a:defRPr>
            </a:pPr>
            <a:endParaRPr lang="en-US"/>
          </a:p>
        </c:txPr>
        <c:crossAx val="5907176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57240</xdr:colOff>
      <xdr:row>17</xdr:row>
      <xdr:rowOff>57240</xdr:rowOff>
    </xdr:from>
    <xdr:to>
      <xdr:col>19</xdr:col>
      <xdr:colOff>289470</xdr:colOff>
      <xdr:row>31</xdr:row>
      <xdr:rowOff>57060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21</xdr:col>
      <xdr:colOff>57240</xdr:colOff>
      <xdr:row>17</xdr:row>
      <xdr:rowOff>57240</xdr:rowOff>
    </xdr:from>
    <xdr:to>
      <xdr:col>29</xdr:col>
      <xdr:colOff>289470</xdr:colOff>
      <xdr:row>31</xdr:row>
      <xdr:rowOff>57060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31</xdr:col>
      <xdr:colOff>57240</xdr:colOff>
      <xdr:row>17</xdr:row>
      <xdr:rowOff>57240</xdr:rowOff>
    </xdr:from>
    <xdr:to>
      <xdr:col>39</xdr:col>
      <xdr:colOff>289470</xdr:colOff>
      <xdr:row>31</xdr:row>
      <xdr:rowOff>57060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57240</xdr:colOff>
      <xdr:row>34</xdr:row>
      <xdr:rowOff>57240</xdr:rowOff>
    </xdr:from>
    <xdr:to>
      <xdr:col>19</xdr:col>
      <xdr:colOff>289470</xdr:colOff>
      <xdr:row>46</xdr:row>
      <xdr:rowOff>172630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21</xdr:col>
      <xdr:colOff>57240</xdr:colOff>
      <xdr:row>34</xdr:row>
      <xdr:rowOff>57240</xdr:rowOff>
    </xdr:from>
    <xdr:to>
      <xdr:col>39</xdr:col>
      <xdr:colOff>289470</xdr:colOff>
      <xdr:row>46</xdr:row>
      <xdr:rowOff>172630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41</xdr:col>
      <xdr:colOff>53430</xdr:colOff>
      <xdr:row>6</xdr:row>
      <xdr:rowOff>53430</xdr:rowOff>
    </xdr:from>
    <xdr:to>
      <xdr:col>63</xdr:col>
      <xdr:colOff>285660</xdr:colOff>
      <xdr:row>14</xdr:row>
      <xdr:rowOff>22770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6FE0"/>
    <pageSetUpPr fitToPage="1"/>
  </sheetPr>
  <dimension ref="A1:BM49"/>
  <sheetViews>
    <sheetView showGridLines="0" showRowColHeaders="0" tabSelected="1" zoomScale="75" zoomScaleNormal="75" workbookViewId="0">
      <selection activeCell="AH14" sqref="AH14:AM14"/>
    </sheetView>
  </sheetViews>
  <sheetFormatPr defaultColWidth="8.6640625" defaultRowHeight="14.4" x14ac:dyDescent="0.3"/>
  <cols>
    <col min="1" max="1" width="2" customWidth="1"/>
    <col min="2" max="40" width="5.33203125" customWidth="1"/>
    <col min="41" max="41" width="2" customWidth="1"/>
    <col min="42" max="64" width="5.33203125" customWidth="1"/>
    <col min="65" max="65" width="2" customWidth="1"/>
  </cols>
  <sheetData>
    <row r="1" spans="1:65" ht="6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</row>
    <row r="2" spans="1:65" ht="36" customHeight="1" x14ac:dyDescent="0.3">
      <c r="A2" s="2"/>
      <c r="B2" s="76" t="s">
        <v>0</v>
      </c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3"/>
      <c r="U2" s="77" t="str">
        <f>"Period in view"&amp;CHAR(10)&amp;Calc!$B$18</f>
        <v>Period in view
Jan 1, 2024 - Dec 31, 2024</v>
      </c>
      <c r="V2" s="77"/>
      <c r="W2" s="77"/>
      <c r="X2" s="77"/>
      <c r="Y2" s="77"/>
      <c r="Z2" s="77"/>
      <c r="AA2" s="77"/>
      <c r="AB2" s="3"/>
      <c r="AC2" s="75" t="s">
        <v>1</v>
      </c>
      <c r="AD2" s="75"/>
      <c r="AE2" s="75"/>
      <c r="AF2" s="75"/>
      <c r="AG2" s="75"/>
      <c r="AH2" s="75"/>
      <c r="AI2" s="75"/>
      <c r="AJ2" s="75"/>
      <c r="AK2" s="75"/>
      <c r="AL2" s="75"/>
      <c r="AM2" s="75"/>
      <c r="AN2" s="75"/>
      <c r="AO2" s="75"/>
      <c r="AP2" s="75"/>
      <c r="AQ2" s="75"/>
      <c r="AR2" s="75"/>
      <c r="AS2" s="75"/>
      <c r="AT2" s="75"/>
      <c r="AU2" s="75"/>
      <c r="AV2" s="75"/>
      <c r="AW2" s="75"/>
      <c r="AX2" s="75"/>
      <c r="AY2" s="75"/>
      <c r="AZ2" s="75"/>
      <c r="BA2" s="75"/>
      <c r="BB2" s="75"/>
      <c r="BC2" s="75"/>
      <c r="BD2" s="75"/>
      <c r="BE2" s="75"/>
      <c r="BF2" s="75"/>
      <c r="BG2" s="75"/>
      <c r="BH2" s="75"/>
      <c r="BI2" s="75"/>
      <c r="BJ2" s="75"/>
      <c r="BK2" s="75"/>
      <c r="BL2" s="75"/>
      <c r="BM2" s="3"/>
    </row>
    <row r="3" spans="1:65" ht="21.75" customHeight="1" x14ac:dyDescent="0.3">
      <c r="A3" s="2"/>
      <c r="B3" s="78" t="s">
        <v>2</v>
      </c>
      <c r="C3" s="78"/>
      <c r="D3" s="78"/>
      <c r="E3" s="78"/>
      <c r="F3" s="78"/>
      <c r="G3" s="78"/>
      <c r="H3" s="78"/>
      <c r="I3" s="78"/>
      <c r="J3" s="78"/>
      <c r="K3" s="78"/>
      <c r="L3" s="78"/>
      <c r="M3" s="78"/>
      <c r="N3" s="78"/>
      <c r="O3" s="78"/>
      <c r="P3" s="78"/>
      <c r="Q3" s="78"/>
      <c r="R3" s="78"/>
      <c r="S3" s="78"/>
      <c r="T3" s="3"/>
      <c r="U3" s="77"/>
      <c r="V3" s="77"/>
      <c r="W3" s="77"/>
      <c r="X3" s="77"/>
      <c r="Y3" s="77"/>
      <c r="Z3" s="77"/>
      <c r="AA3" s="77"/>
      <c r="AB3" s="3"/>
      <c r="AC3" s="75"/>
      <c r="AD3" s="75"/>
      <c r="AE3" s="75"/>
      <c r="AF3" s="75"/>
      <c r="AG3" s="75"/>
      <c r="AH3" s="75"/>
      <c r="AI3" s="75"/>
      <c r="AJ3" s="75"/>
      <c r="AK3" s="75"/>
      <c r="AL3" s="75"/>
      <c r="AM3" s="75"/>
      <c r="AN3" s="75"/>
      <c r="AO3" s="75"/>
      <c r="AP3" s="75"/>
      <c r="AQ3" s="75"/>
      <c r="AR3" s="75"/>
      <c r="AS3" s="75"/>
      <c r="AT3" s="75"/>
      <c r="AU3" s="75"/>
      <c r="AV3" s="75"/>
      <c r="AW3" s="75"/>
      <c r="AX3" s="75"/>
      <c r="AY3" s="75"/>
      <c r="AZ3" s="75"/>
      <c r="BA3" s="75"/>
      <c r="BB3" s="75"/>
      <c r="BC3" s="75"/>
      <c r="BD3" s="75"/>
      <c r="BE3" s="75"/>
      <c r="BF3" s="75"/>
      <c r="BG3" s="75"/>
      <c r="BH3" s="75"/>
      <c r="BI3" s="75"/>
      <c r="BJ3" s="75"/>
      <c r="BK3" s="75"/>
      <c r="BL3" s="75"/>
      <c r="BM3" s="3"/>
    </row>
    <row r="4" spans="1:65" ht="9.75" customHeight="1" x14ac:dyDescent="0.3">
      <c r="A4" s="2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</row>
    <row r="5" spans="1:65" ht="7.5" customHeigh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</row>
    <row r="6" spans="1:65" ht="25.5" customHeight="1" x14ac:dyDescent="0.3">
      <c r="A6" s="1"/>
      <c r="B6" s="4"/>
      <c r="C6" s="79" t="s">
        <v>3</v>
      </c>
      <c r="D6" s="79"/>
      <c r="E6" s="80" t="s">
        <v>4</v>
      </c>
      <c r="F6" s="80"/>
      <c r="G6" s="80"/>
      <c r="H6" s="80"/>
      <c r="I6" s="1"/>
      <c r="J6" s="5"/>
      <c r="K6" s="81" t="s">
        <v>5</v>
      </c>
      <c r="L6" s="81"/>
      <c r="M6" s="82" t="s">
        <v>6</v>
      </c>
      <c r="N6" s="82"/>
      <c r="O6" s="82"/>
      <c r="P6" s="82"/>
      <c r="Q6" s="1"/>
      <c r="R6" s="4"/>
      <c r="S6" s="79" t="s">
        <v>7</v>
      </c>
      <c r="T6" s="79"/>
      <c r="U6" s="80" t="s">
        <v>8</v>
      </c>
      <c r="V6" s="80"/>
      <c r="W6" s="80"/>
      <c r="X6" s="80"/>
      <c r="Y6" s="1"/>
      <c r="Z6" s="6"/>
      <c r="AA6" s="83" t="s">
        <v>9</v>
      </c>
      <c r="AB6" s="83"/>
      <c r="AC6" s="67" t="s">
        <v>10</v>
      </c>
      <c r="AD6" s="67"/>
      <c r="AE6" s="67"/>
      <c r="AF6" s="67"/>
      <c r="AG6" s="1"/>
      <c r="AH6" s="7"/>
      <c r="AI6" s="68" t="s">
        <v>11</v>
      </c>
      <c r="AJ6" s="68"/>
      <c r="AK6" s="69" t="s">
        <v>12</v>
      </c>
      <c r="AL6" s="69"/>
      <c r="AM6" s="69"/>
      <c r="AN6" s="69"/>
      <c r="AO6" s="1"/>
      <c r="AP6" s="109" t="s">
        <v>34</v>
      </c>
      <c r="AQ6" s="110"/>
      <c r="AR6" s="110"/>
      <c r="AS6" s="110"/>
      <c r="AT6" s="110"/>
      <c r="AU6" s="110"/>
      <c r="AV6" s="110"/>
      <c r="AW6" s="110"/>
      <c r="AX6" s="110"/>
      <c r="AY6" s="110"/>
      <c r="AZ6" s="110"/>
      <c r="BA6" s="110"/>
      <c r="BB6" s="110"/>
      <c r="BC6" s="110"/>
      <c r="BD6" s="110"/>
      <c r="BE6" s="110"/>
      <c r="BF6" s="110"/>
      <c r="BG6" s="110"/>
      <c r="BH6" s="110"/>
      <c r="BI6" s="110"/>
      <c r="BJ6" s="110"/>
      <c r="BK6" s="110"/>
      <c r="BL6" s="111"/>
      <c r="BM6" s="1"/>
    </row>
    <row r="7" spans="1:65" ht="37.5" customHeight="1" x14ac:dyDescent="0.3">
      <c r="A7" s="1"/>
      <c r="B7" s="8"/>
      <c r="C7" s="79"/>
      <c r="D7" s="79"/>
      <c r="E7" s="70">
        <f>Calc!$B$21</f>
        <v>11108749.090000002</v>
      </c>
      <c r="F7" s="70"/>
      <c r="G7" s="70"/>
      <c r="H7" s="70"/>
      <c r="I7" s="1"/>
      <c r="J7" s="9"/>
      <c r="K7" s="81"/>
      <c r="L7" s="81"/>
      <c r="M7" s="71">
        <f>Calc!$B$22</f>
        <v>54183330.810000017</v>
      </c>
      <c r="N7" s="71"/>
      <c r="O7" s="71"/>
      <c r="P7" s="71"/>
      <c r="Q7" s="1"/>
      <c r="R7" s="8"/>
      <c r="S7" s="79"/>
      <c r="T7" s="79"/>
      <c r="U7" s="72">
        <f>Calc!$B$26</f>
        <v>4.8775366489081451</v>
      </c>
      <c r="V7" s="72"/>
      <c r="W7" s="72"/>
      <c r="X7" s="72"/>
      <c r="Y7" s="1"/>
      <c r="Z7" s="10"/>
      <c r="AA7" s="83"/>
      <c r="AB7" s="83"/>
      <c r="AC7" s="73">
        <f>Calc!$B$27</f>
        <v>33.991252126604905</v>
      </c>
      <c r="AD7" s="73"/>
      <c r="AE7" s="73"/>
      <c r="AF7" s="73"/>
      <c r="AG7" s="1"/>
      <c r="AH7" s="11"/>
      <c r="AI7" s="68"/>
      <c r="AJ7" s="68"/>
      <c r="AK7" s="74">
        <f>Calc!$B$23</f>
        <v>326812</v>
      </c>
      <c r="AL7" s="74"/>
      <c r="AM7" s="74"/>
      <c r="AN7" s="74"/>
      <c r="AO7" s="1"/>
      <c r="AP7" s="26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8"/>
      <c r="BM7" s="1"/>
    </row>
    <row r="8" spans="1:65" ht="24" customHeight="1" x14ac:dyDescent="0.3">
      <c r="A8" s="1"/>
      <c r="B8" s="12"/>
      <c r="C8" s="13"/>
      <c r="D8" s="13"/>
      <c r="E8" s="89">
        <f>Calc!$E$21</f>
        <v>-2.7794040988461499E-2</v>
      </c>
      <c r="F8" s="89"/>
      <c r="G8" s="90" t="str">
        <f>Calc!$B$17</f>
        <v>H2 vs H1</v>
      </c>
      <c r="H8" s="90"/>
      <c r="I8" s="1"/>
      <c r="J8" s="14"/>
      <c r="K8" s="15"/>
      <c r="L8" s="15"/>
      <c r="M8" s="91">
        <f>Calc!$E$22</f>
        <v>-2.3304818599765298E-3</v>
      </c>
      <c r="N8" s="91"/>
      <c r="O8" s="92" t="str">
        <f>Calc!$B$17</f>
        <v>H2 vs H1</v>
      </c>
      <c r="P8" s="92"/>
      <c r="Q8" s="1"/>
      <c r="R8" s="12"/>
      <c r="S8" s="13"/>
      <c r="T8" s="13"/>
      <c r="U8" s="89">
        <f>Calc!$E$26</f>
        <v>2.6191527517867019E-2</v>
      </c>
      <c r="V8" s="89"/>
      <c r="W8" s="90" t="str">
        <f>Calc!$B$17</f>
        <v>H2 vs H1</v>
      </c>
      <c r="X8" s="90"/>
      <c r="Y8" s="1"/>
      <c r="Z8" s="16"/>
      <c r="AA8" s="17"/>
      <c r="AB8" s="17"/>
      <c r="AC8" s="93">
        <f>Calc!$E$27</f>
        <v>-2.1059609319942441E-2</v>
      </c>
      <c r="AD8" s="93"/>
      <c r="AE8" s="94" t="str">
        <f>Calc!$B$17</f>
        <v>H2 vs H1</v>
      </c>
      <c r="AF8" s="94"/>
      <c r="AG8" s="1"/>
      <c r="AH8" s="18"/>
      <c r="AI8" s="19"/>
      <c r="AJ8" s="19"/>
      <c r="AK8" s="95">
        <f>Calc!$E$23</f>
        <v>-6.8793071903396896E-3</v>
      </c>
      <c r="AL8" s="95"/>
      <c r="AM8" s="84" t="str">
        <f>Calc!$B$17</f>
        <v>H2 vs H1</v>
      </c>
      <c r="AN8" s="84"/>
      <c r="AO8" s="1"/>
      <c r="AP8" s="26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7"/>
      <c r="BK8" s="27"/>
      <c r="BL8" s="28"/>
      <c r="BM8" s="1"/>
    </row>
    <row r="9" spans="1:65" ht="6" customHeight="1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26"/>
      <c r="AQ9" s="27"/>
      <c r="AR9" s="27"/>
      <c r="AS9" s="27"/>
      <c r="AT9" s="27"/>
      <c r="AU9" s="27"/>
      <c r="AV9" s="27"/>
      <c r="AW9" s="27"/>
      <c r="AX9" s="27"/>
      <c r="AY9" s="27"/>
      <c r="AZ9" s="27"/>
      <c r="BA9" s="27"/>
      <c r="BB9" s="27"/>
      <c r="BC9" s="27"/>
      <c r="BD9" s="27"/>
      <c r="BE9" s="27"/>
      <c r="BF9" s="27"/>
      <c r="BG9" s="27"/>
      <c r="BH9" s="27"/>
      <c r="BI9" s="27"/>
      <c r="BJ9" s="27"/>
      <c r="BK9" s="27"/>
      <c r="BL9" s="28"/>
      <c r="BM9" s="1"/>
    </row>
    <row r="10" spans="1:65" ht="30" customHeight="1" x14ac:dyDescent="0.3">
      <c r="A10" s="1"/>
      <c r="B10" s="85" t="s">
        <v>13</v>
      </c>
      <c r="C10" s="85"/>
      <c r="D10" s="85"/>
      <c r="E10" s="85"/>
      <c r="F10" s="86">
        <f>Calc!$B$24</f>
        <v>185254234</v>
      </c>
      <c r="G10" s="86"/>
      <c r="H10" s="86"/>
      <c r="I10" s="1"/>
      <c r="J10" s="85" t="s">
        <v>14</v>
      </c>
      <c r="K10" s="85"/>
      <c r="L10" s="85"/>
      <c r="M10" s="85"/>
      <c r="N10" s="86">
        <f>Calc!$B$25</f>
        <v>7132816</v>
      </c>
      <c r="O10" s="86"/>
      <c r="P10" s="86"/>
      <c r="Q10" s="1"/>
      <c r="R10" s="85" t="s">
        <v>15</v>
      </c>
      <c r="S10" s="85"/>
      <c r="T10" s="85"/>
      <c r="U10" s="85"/>
      <c r="V10" s="87">
        <f>Calc!$B$28</f>
        <v>3.8502850088705666E-2</v>
      </c>
      <c r="W10" s="87"/>
      <c r="X10" s="87"/>
      <c r="Y10" s="1"/>
      <c r="Z10" s="85" t="s">
        <v>16</v>
      </c>
      <c r="AA10" s="85"/>
      <c r="AB10" s="85"/>
      <c r="AC10" s="85"/>
      <c r="AD10" s="88">
        <f>Calc!$B$29</f>
        <v>1.5574142232184318</v>
      </c>
      <c r="AE10" s="88"/>
      <c r="AF10" s="88"/>
      <c r="AG10" s="1"/>
      <c r="AH10" s="85" t="s">
        <v>17</v>
      </c>
      <c r="AI10" s="85"/>
      <c r="AJ10" s="85"/>
      <c r="AK10" s="85"/>
      <c r="AL10" s="87">
        <f>Calc!$B$30</f>
        <v>4.5818089237125985E-2</v>
      </c>
      <c r="AM10" s="87"/>
      <c r="AN10" s="87"/>
      <c r="AO10" s="1"/>
      <c r="AP10" s="26"/>
      <c r="AQ10" s="27"/>
      <c r="AR10" s="27"/>
      <c r="AS10" s="27"/>
      <c r="AT10" s="27"/>
      <c r="AU10" s="27"/>
      <c r="AV10" s="27"/>
      <c r="AW10" s="27"/>
      <c r="AX10" s="27"/>
      <c r="AY10" s="27"/>
      <c r="AZ10" s="27"/>
      <c r="BA10" s="27"/>
      <c r="BB10" s="27"/>
      <c r="BC10" s="27"/>
      <c r="BD10" s="27"/>
      <c r="BE10" s="27"/>
      <c r="BF10" s="27"/>
      <c r="BG10" s="27"/>
      <c r="BH10" s="27"/>
      <c r="BI10" s="27"/>
      <c r="BJ10" s="27"/>
      <c r="BK10" s="27"/>
      <c r="BL10" s="28"/>
      <c r="BM10" s="1"/>
    </row>
    <row r="11" spans="1:65" ht="7.5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26"/>
      <c r="AQ11" s="27"/>
      <c r="AR11" s="27"/>
      <c r="AS11" s="27"/>
      <c r="AT11" s="27"/>
      <c r="AU11" s="27"/>
      <c r="AV11" s="27"/>
      <c r="AW11" s="27"/>
      <c r="AX11" s="27"/>
      <c r="AY11" s="27"/>
      <c r="AZ11" s="27"/>
      <c r="BA11" s="27"/>
      <c r="BB11" s="27"/>
      <c r="BC11" s="27"/>
      <c r="BD11" s="27"/>
      <c r="BE11" s="27"/>
      <c r="BF11" s="27"/>
      <c r="BG11" s="27"/>
      <c r="BH11" s="27"/>
      <c r="BI11" s="27"/>
      <c r="BJ11" s="27"/>
      <c r="BK11" s="27"/>
      <c r="BL11" s="28"/>
      <c r="BM11" s="1"/>
    </row>
    <row r="12" spans="1:65" ht="6" customHeight="1" x14ac:dyDescent="0.3">
      <c r="A12" s="1"/>
      <c r="B12" s="96" t="s">
        <v>18</v>
      </c>
      <c r="C12" s="96"/>
      <c r="D12" s="96"/>
      <c r="E12" s="96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1"/>
      <c r="AO12" s="1"/>
      <c r="AP12" s="26"/>
      <c r="AQ12" s="27"/>
      <c r="AR12" s="27"/>
      <c r="AS12" s="27"/>
      <c r="AT12" s="27"/>
      <c r="AU12" s="27"/>
      <c r="AV12" s="27"/>
      <c r="AW12" s="27"/>
      <c r="AX12" s="27"/>
      <c r="AY12" s="27"/>
      <c r="AZ12" s="27"/>
      <c r="BA12" s="27"/>
      <c r="BB12" s="27"/>
      <c r="BC12" s="27"/>
      <c r="BD12" s="27"/>
      <c r="BE12" s="27"/>
      <c r="BF12" s="27"/>
      <c r="BG12" s="27"/>
      <c r="BH12" s="27"/>
      <c r="BI12" s="27"/>
      <c r="BJ12" s="27"/>
      <c r="BK12" s="27"/>
      <c r="BL12" s="28"/>
      <c r="BM12" s="1"/>
    </row>
    <row r="13" spans="1:65" ht="15.75" customHeight="1" x14ac:dyDescent="0.3">
      <c r="A13" s="1"/>
      <c r="B13" s="96"/>
      <c r="C13" s="96"/>
      <c r="D13" s="96"/>
      <c r="E13" s="96"/>
      <c r="F13" s="97" t="s">
        <v>19</v>
      </c>
      <c r="G13" s="97"/>
      <c r="H13" s="97"/>
      <c r="I13" s="97"/>
      <c r="J13" s="97"/>
      <c r="K13" s="97"/>
      <c r="L13" s="22"/>
      <c r="M13" s="97" t="s">
        <v>20</v>
      </c>
      <c r="N13" s="97"/>
      <c r="O13" s="97"/>
      <c r="P13" s="97"/>
      <c r="Q13" s="97"/>
      <c r="R13" s="97"/>
      <c r="S13" s="22"/>
      <c r="T13" s="97" t="s">
        <v>21</v>
      </c>
      <c r="U13" s="97"/>
      <c r="V13" s="97"/>
      <c r="W13" s="97"/>
      <c r="X13" s="97"/>
      <c r="Y13" s="97"/>
      <c r="Z13" s="22"/>
      <c r="AA13" s="97" t="s">
        <v>22</v>
      </c>
      <c r="AB13" s="97"/>
      <c r="AC13" s="97"/>
      <c r="AD13" s="97"/>
      <c r="AE13" s="97"/>
      <c r="AF13" s="97"/>
      <c r="AG13" s="22"/>
      <c r="AH13" s="97" t="s">
        <v>23</v>
      </c>
      <c r="AI13" s="97"/>
      <c r="AJ13" s="97"/>
      <c r="AK13" s="97"/>
      <c r="AL13" s="97"/>
      <c r="AM13" s="97"/>
      <c r="AN13" s="23"/>
      <c r="AO13" s="1"/>
      <c r="AP13" s="26"/>
      <c r="AQ13" s="27"/>
      <c r="AR13" s="27"/>
      <c r="AS13" s="27"/>
      <c r="AT13" s="27"/>
      <c r="AU13" s="27"/>
      <c r="AV13" s="27"/>
      <c r="AW13" s="27"/>
      <c r="AX13" s="27"/>
      <c r="AY13" s="27"/>
      <c r="AZ13" s="27"/>
      <c r="BA13" s="27"/>
      <c r="BB13" s="27"/>
      <c r="BC13" s="27"/>
      <c r="BD13" s="27"/>
      <c r="BE13" s="27"/>
      <c r="BF13" s="27"/>
      <c r="BG13" s="27"/>
      <c r="BH13" s="27"/>
      <c r="BI13" s="27"/>
      <c r="BJ13" s="27"/>
      <c r="BK13" s="27"/>
      <c r="BL13" s="28"/>
      <c r="BM13" s="1"/>
    </row>
    <row r="14" spans="1:65" ht="27.75" customHeight="1" x14ac:dyDescent="0.3">
      <c r="A14" s="1"/>
      <c r="B14" s="96"/>
      <c r="C14" s="96"/>
      <c r="D14" s="96"/>
      <c r="E14" s="96"/>
      <c r="F14" s="98" t="s">
        <v>24</v>
      </c>
      <c r="G14" s="98"/>
      <c r="H14" s="98"/>
      <c r="I14" s="98"/>
      <c r="J14" s="98"/>
      <c r="K14" s="98"/>
      <c r="L14" s="22"/>
      <c r="M14" s="98" t="s">
        <v>25</v>
      </c>
      <c r="N14" s="98"/>
      <c r="O14" s="98"/>
      <c r="P14" s="98"/>
      <c r="Q14" s="98"/>
      <c r="R14" s="98"/>
      <c r="S14" s="22"/>
      <c r="T14" s="98" t="s">
        <v>26</v>
      </c>
      <c r="U14" s="98"/>
      <c r="V14" s="98"/>
      <c r="W14" s="98"/>
      <c r="X14" s="98"/>
      <c r="Y14" s="98"/>
      <c r="Z14" s="22"/>
      <c r="AA14" s="98" t="s">
        <v>27</v>
      </c>
      <c r="AB14" s="98"/>
      <c r="AC14" s="98"/>
      <c r="AD14" s="98"/>
      <c r="AE14" s="98"/>
      <c r="AF14" s="98"/>
      <c r="AG14" s="22"/>
      <c r="AH14" s="98" t="s">
        <v>28</v>
      </c>
      <c r="AI14" s="98"/>
      <c r="AJ14" s="98"/>
      <c r="AK14" s="98"/>
      <c r="AL14" s="98"/>
      <c r="AM14" s="98"/>
      <c r="AN14" s="23"/>
      <c r="AO14" s="1"/>
      <c r="AP14" s="26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8"/>
      <c r="BM14" s="1"/>
    </row>
    <row r="15" spans="1:65" ht="6" customHeight="1" x14ac:dyDescent="0.3">
      <c r="A15" s="1"/>
      <c r="B15" s="96"/>
      <c r="C15" s="96"/>
      <c r="D15" s="96"/>
      <c r="E15" s="96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5"/>
      <c r="AO15" s="1"/>
      <c r="AP15" s="29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1"/>
      <c r="BM15" s="1"/>
    </row>
    <row r="16" spans="1:65" ht="7.5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</row>
    <row r="17" spans="1:65" ht="27.75" customHeight="1" x14ac:dyDescent="0.3">
      <c r="A17" s="1"/>
      <c r="B17" s="64" t="s">
        <v>29</v>
      </c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1"/>
      <c r="V17" s="64" t="s">
        <v>30</v>
      </c>
      <c r="W17" s="64"/>
      <c r="X17" s="64"/>
      <c r="Y17" s="64"/>
      <c r="Z17" s="64"/>
      <c r="AA17" s="64"/>
      <c r="AB17" s="64"/>
      <c r="AC17" s="64"/>
      <c r="AD17" s="64"/>
      <c r="AE17" s="1"/>
      <c r="AF17" s="64" t="s">
        <v>31</v>
      </c>
      <c r="AG17" s="64"/>
      <c r="AH17" s="64"/>
      <c r="AI17" s="64"/>
      <c r="AJ17" s="64"/>
      <c r="AK17" s="64"/>
      <c r="AL17" s="64"/>
      <c r="AM17" s="64"/>
      <c r="AN17" s="64"/>
      <c r="AO17" s="1"/>
      <c r="AP17" s="109" t="s">
        <v>39</v>
      </c>
      <c r="AQ17" s="110"/>
      <c r="AR17" s="110"/>
      <c r="AS17" s="110"/>
      <c r="AT17" s="110"/>
      <c r="AU17" s="110"/>
      <c r="AV17" s="110"/>
      <c r="AW17" s="110"/>
      <c r="AX17" s="110"/>
      <c r="AY17" s="110"/>
      <c r="AZ17" s="110"/>
      <c r="BA17" s="110"/>
      <c r="BB17" s="110"/>
      <c r="BC17" s="110"/>
      <c r="BD17" s="110"/>
      <c r="BE17" s="110"/>
      <c r="BF17" s="110"/>
      <c r="BG17" s="110"/>
      <c r="BH17" s="110"/>
      <c r="BI17" s="110"/>
      <c r="BJ17" s="110"/>
      <c r="BK17" s="110"/>
      <c r="BL17" s="111"/>
      <c r="BM17" s="1"/>
    </row>
    <row r="18" spans="1:65" ht="24" customHeight="1" x14ac:dyDescent="0.3">
      <c r="A18" s="1"/>
      <c r="B18" s="26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8"/>
      <c r="U18" s="1"/>
      <c r="V18" s="26"/>
      <c r="W18" s="27"/>
      <c r="X18" s="27"/>
      <c r="Y18" s="27"/>
      <c r="Z18" s="27"/>
      <c r="AA18" s="27"/>
      <c r="AB18" s="27"/>
      <c r="AC18" s="27"/>
      <c r="AD18" s="28"/>
      <c r="AE18" s="1"/>
      <c r="AF18" s="26"/>
      <c r="AG18" s="27"/>
      <c r="AH18" s="27"/>
      <c r="AI18" s="27"/>
      <c r="AJ18" s="27"/>
      <c r="AK18" s="27"/>
      <c r="AL18" s="27"/>
      <c r="AM18" s="27"/>
      <c r="AN18" s="28"/>
      <c r="AO18" s="1"/>
      <c r="AP18" s="46" t="s">
        <v>40</v>
      </c>
      <c r="AQ18" s="65" t="s">
        <v>41</v>
      </c>
      <c r="AR18" s="65"/>
      <c r="AS18" s="65"/>
      <c r="AT18" s="65" t="s">
        <v>42</v>
      </c>
      <c r="AU18" s="65"/>
      <c r="AV18" s="65"/>
      <c r="AW18" s="65" t="s">
        <v>43</v>
      </c>
      <c r="AX18" s="65"/>
      <c r="AY18" s="65"/>
      <c r="AZ18" s="65" t="s">
        <v>44</v>
      </c>
      <c r="BA18" s="65"/>
      <c r="BB18" s="65" t="s">
        <v>45</v>
      </c>
      <c r="BC18" s="65"/>
      <c r="BD18" s="65" t="s">
        <v>46</v>
      </c>
      <c r="BE18" s="65"/>
      <c r="BF18" s="65"/>
      <c r="BG18" s="65" t="s">
        <v>47</v>
      </c>
      <c r="BH18" s="65"/>
      <c r="BI18" s="65" t="s">
        <v>48</v>
      </c>
      <c r="BJ18" s="65"/>
      <c r="BK18" s="65" t="s">
        <v>49</v>
      </c>
      <c r="BL18" s="66"/>
      <c r="BM18" s="1"/>
    </row>
    <row r="19" spans="1:65" ht="21.75" customHeight="1" x14ac:dyDescent="0.3">
      <c r="A19" s="1"/>
      <c r="B19" s="26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8"/>
      <c r="U19" s="1"/>
      <c r="V19" s="26"/>
      <c r="W19" s="27"/>
      <c r="X19" s="27"/>
      <c r="Y19" s="27"/>
      <c r="Z19" s="27"/>
      <c r="AA19" s="27"/>
      <c r="AB19" s="27"/>
      <c r="AC19" s="27"/>
      <c r="AD19" s="28"/>
      <c r="AE19" s="1"/>
      <c r="AF19" s="26"/>
      <c r="AG19" s="27"/>
      <c r="AH19" s="27"/>
      <c r="AI19" s="27"/>
      <c r="AJ19" s="27"/>
      <c r="AK19" s="27"/>
      <c r="AL19" s="27"/>
      <c r="AM19" s="27"/>
      <c r="AN19" s="28"/>
      <c r="AO19" s="1"/>
      <c r="AP19" s="47">
        <f>IF(Calc!$K$95="","",1)</f>
        <v>1</v>
      </c>
      <c r="AQ19" s="58" t="str">
        <f>Calc!$K$95</f>
        <v>Google Ads</v>
      </c>
      <c r="AR19" s="58"/>
      <c r="AS19" s="58"/>
      <c r="AT19" s="59" t="str">
        <f>Calc!$L$95</f>
        <v>Shopping</v>
      </c>
      <c r="AU19" s="59"/>
      <c r="AV19" s="59"/>
      <c r="AW19" s="59" t="str">
        <f>Calc!$M$95</f>
        <v>Fintech</v>
      </c>
      <c r="AX19" s="59"/>
      <c r="AY19" s="59"/>
      <c r="AZ19" s="59" t="str">
        <f>Calc!$N$95</f>
        <v>Australia</v>
      </c>
      <c r="BA19" s="59"/>
      <c r="BB19" s="60">
        <f>Calc!$O$95</f>
        <v>135409.45000000001</v>
      </c>
      <c r="BC19" s="60"/>
      <c r="BD19" s="61">
        <f>Calc!$P$95</f>
        <v>3128</v>
      </c>
      <c r="BE19" s="61"/>
      <c r="BF19" s="61"/>
      <c r="BG19" s="60">
        <f>Calc!$Q$95</f>
        <v>614423.03</v>
      </c>
      <c r="BH19" s="60"/>
      <c r="BI19" s="62">
        <f>Calc!$R$95</f>
        <v>4.5375195748893447</v>
      </c>
      <c r="BJ19" s="62"/>
      <c r="BK19" s="108">
        <f>Calc!$S$95</f>
        <v>43.289466112531976</v>
      </c>
      <c r="BL19" s="63"/>
      <c r="BM19" s="1"/>
    </row>
    <row r="20" spans="1:65" ht="21.75" customHeight="1" x14ac:dyDescent="0.3">
      <c r="A20" s="1"/>
      <c r="B20" s="26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8"/>
      <c r="U20" s="1"/>
      <c r="V20" s="26"/>
      <c r="W20" s="27"/>
      <c r="X20" s="27"/>
      <c r="Y20" s="27"/>
      <c r="Z20" s="27"/>
      <c r="AA20" s="27"/>
      <c r="AB20" s="27"/>
      <c r="AC20" s="27"/>
      <c r="AD20" s="28"/>
      <c r="AE20" s="1"/>
      <c r="AF20" s="26"/>
      <c r="AG20" s="27"/>
      <c r="AH20" s="27"/>
      <c r="AI20" s="27"/>
      <c r="AJ20" s="27"/>
      <c r="AK20" s="27"/>
      <c r="AL20" s="27"/>
      <c r="AM20" s="27"/>
      <c r="AN20" s="28"/>
      <c r="AO20" s="1"/>
      <c r="AP20" s="48">
        <f>IF(Calc!$K$96="","",2)</f>
        <v>2</v>
      </c>
      <c r="AQ20" s="52" t="str">
        <f>Calc!$K$96</f>
        <v>TikTok Ads</v>
      </c>
      <c r="AR20" s="52"/>
      <c r="AS20" s="52"/>
      <c r="AT20" s="53" t="str">
        <f>Calc!$L$96</f>
        <v>Video</v>
      </c>
      <c r="AU20" s="53"/>
      <c r="AV20" s="53"/>
      <c r="AW20" s="53" t="str">
        <f>Calc!$M$96</f>
        <v>EdTech</v>
      </c>
      <c r="AX20" s="53"/>
      <c r="AY20" s="53"/>
      <c r="AZ20" s="53" t="str">
        <f>Calc!$N$96</f>
        <v>India</v>
      </c>
      <c r="BA20" s="53"/>
      <c r="BB20" s="54">
        <f>Calc!$O$96</f>
        <v>58952.209999999992</v>
      </c>
      <c r="BC20" s="54"/>
      <c r="BD20" s="55">
        <f>Calc!$P$96</f>
        <v>2630</v>
      </c>
      <c r="BE20" s="55"/>
      <c r="BF20" s="55"/>
      <c r="BG20" s="54">
        <f>Calc!$Q$96</f>
        <v>517884.41</v>
      </c>
      <c r="BH20" s="54"/>
      <c r="BI20" s="56">
        <f>Calc!$R$96</f>
        <v>8.7848175666357555</v>
      </c>
      <c r="BJ20" s="56"/>
      <c r="BK20" s="107">
        <f>Calc!$S$96</f>
        <v>22.415288973384026</v>
      </c>
      <c r="BL20" s="57"/>
      <c r="BM20" s="1"/>
    </row>
    <row r="21" spans="1:65" ht="21.75" customHeight="1" x14ac:dyDescent="0.3">
      <c r="A21" s="1"/>
      <c r="B21" s="26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8"/>
      <c r="U21" s="1"/>
      <c r="V21" s="26"/>
      <c r="W21" s="27"/>
      <c r="X21" s="27"/>
      <c r="Y21" s="27"/>
      <c r="Z21" s="27"/>
      <c r="AA21" s="27"/>
      <c r="AB21" s="27"/>
      <c r="AC21" s="27"/>
      <c r="AD21" s="28"/>
      <c r="AE21" s="1"/>
      <c r="AF21" s="26"/>
      <c r="AG21" s="27"/>
      <c r="AH21" s="27"/>
      <c r="AI21" s="27"/>
      <c r="AJ21" s="27"/>
      <c r="AK21" s="27"/>
      <c r="AL21" s="27"/>
      <c r="AM21" s="27"/>
      <c r="AN21" s="28"/>
      <c r="AO21" s="1"/>
      <c r="AP21" s="47">
        <f>IF(Calc!$K$97="","",3)</f>
        <v>3</v>
      </c>
      <c r="AQ21" s="58" t="str">
        <f>Calc!$K$97</f>
        <v>TikTok Ads</v>
      </c>
      <c r="AR21" s="58"/>
      <c r="AS21" s="58"/>
      <c r="AT21" s="59" t="str">
        <f>Calc!$L$97</f>
        <v>Display</v>
      </c>
      <c r="AU21" s="59"/>
      <c r="AV21" s="59"/>
      <c r="AW21" s="59" t="str">
        <f>Calc!$M$97</f>
        <v>Healthcare</v>
      </c>
      <c r="AX21" s="59"/>
      <c r="AY21" s="59"/>
      <c r="AZ21" s="59" t="str">
        <f>Calc!$N$97</f>
        <v>UK</v>
      </c>
      <c r="BA21" s="59"/>
      <c r="BB21" s="60">
        <f>Calc!$O$97</f>
        <v>37769.39</v>
      </c>
      <c r="BC21" s="60"/>
      <c r="BD21" s="61">
        <f>Calc!$P$97</f>
        <v>2246</v>
      </c>
      <c r="BE21" s="61"/>
      <c r="BF21" s="61"/>
      <c r="BG21" s="60">
        <f>Calc!$Q$97</f>
        <v>490495.75</v>
      </c>
      <c r="BH21" s="60"/>
      <c r="BI21" s="62">
        <f>Calc!$R$97</f>
        <v>12.98659443533507</v>
      </c>
      <c r="BJ21" s="62"/>
      <c r="BK21" s="108">
        <f>Calc!$S$97</f>
        <v>16.816291184327692</v>
      </c>
      <c r="BL21" s="63"/>
      <c r="BM21" s="1"/>
    </row>
    <row r="22" spans="1:65" ht="21.75" customHeight="1" x14ac:dyDescent="0.3">
      <c r="A22" s="1"/>
      <c r="B22" s="26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8"/>
      <c r="U22" s="1"/>
      <c r="V22" s="26"/>
      <c r="W22" s="27"/>
      <c r="X22" s="27"/>
      <c r="Y22" s="27"/>
      <c r="Z22" s="27"/>
      <c r="AA22" s="27"/>
      <c r="AB22" s="27"/>
      <c r="AC22" s="27"/>
      <c r="AD22" s="28"/>
      <c r="AE22" s="1"/>
      <c r="AF22" s="26"/>
      <c r="AG22" s="27"/>
      <c r="AH22" s="27"/>
      <c r="AI22" s="27"/>
      <c r="AJ22" s="27"/>
      <c r="AK22" s="27"/>
      <c r="AL22" s="27"/>
      <c r="AM22" s="27"/>
      <c r="AN22" s="28"/>
      <c r="AO22" s="1"/>
      <c r="AP22" s="48">
        <f>IF(Calc!$K$98="","",4)</f>
        <v>4</v>
      </c>
      <c r="AQ22" s="52" t="str">
        <f>Calc!$K$98</f>
        <v>Google Ads</v>
      </c>
      <c r="AR22" s="52"/>
      <c r="AS22" s="52"/>
      <c r="AT22" s="53" t="str">
        <f>Calc!$L$98</f>
        <v>Shopping</v>
      </c>
      <c r="AU22" s="53"/>
      <c r="AV22" s="53"/>
      <c r="AW22" s="53" t="str">
        <f>Calc!$M$98</f>
        <v>SaaS</v>
      </c>
      <c r="AX22" s="53"/>
      <c r="AY22" s="53"/>
      <c r="AZ22" s="53" t="str">
        <f>Calc!$N$98</f>
        <v>UAE</v>
      </c>
      <c r="BA22" s="53"/>
      <c r="BB22" s="54">
        <f>Calc!$O$98</f>
        <v>97854.09</v>
      </c>
      <c r="BC22" s="54"/>
      <c r="BD22" s="55">
        <f>Calc!$P$98</f>
        <v>2161</v>
      </c>
      <c r="BE22" s="55"/>
      <c r="BF22" s="55"/>
      <c r="BG22" s="54">
        <f>Calc!$Q$98</f>
        <v>457394.25</v>
      </c>
      <c r="BH22" s="54"/>
      <c r="BI22" s="56">
        <f>Calc!$R$98</f>
        <v>4.6742476476966885</v>
      </c>
      <c r="BJ22" s="56"/>
      <c r="BK22" s="107">
        <f>Calc!$S$98</f>
        <v>45.281855622397039</v>
      </c>
      <c r="BL22" s="57"/>
      <c r="BM22" s="1"/>
    </row>
    <row r="23" spans="1:65" ht="21.75" customHeight="1" x14ac:dyDescent="0.3">
      <c r="A23" s="1"/>
      <c r="B23" s="26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8"/>
      <c r="U23" s="1"/>
      <c r="V23" s="26"/>
      <c r="W23" s="27"/>
      <c r="X23" s="27"/>
      <c r="Y23" s="27"/>
      <c r="Z23" s="27"/>
      <c r="AA23" s="27"/>
      <c r="AB23" s="27"/>
      <c r="AC23" s="27"/>
      <c r="AD23" s="28"/>
      <c r="AE23" s="1"/>
      <c r="AF23" s="26"/>
      <c r="AG23" s="27"/>
      <c r="AH23" s="27"/>
      <c r="AI23" s="27"/>
      <c r="AJ23" s="27"/>
      <c r="AK23" s="27"/>
      <c r="AL23" s="27"/>
      <c r="AM23" s="27"/>
      <c r="AN23" s="28"/>
      <c r="AO23" s="1"/>
      <c r="AP23" s="47">
        <f>IF(Calc!$K$99="","",5)</f>
        <v>5</v>
      </c>
      <c r="AQ23" s="58" t="str">
        <f>Calc!$K$99</f>
        <v>Google Ads</v>
      </c>
      <c r="AR23" s="58"/>
      <c r="AS23" s="58"/>
      <c r="AT23" s="59" t="str">
        <f>Calc!$L$99</f>
        <v>Video</v>
      </c>
      <c r="AU23" s="59"/>
      <c r="AV23" s="59"/>
      <c r="AW23" s="59" t="str">
        <f>Calc!$M$99</f>
        <v>SaaS</v>
      </c>
      <c r="AX23" s="59"/>
      <c r="AY23" s="59"/>
      <c r="AZ23" s="59" t="str">
        <f>Calc!$N$99</f>
        <v>Canada</v>
      </c>
      <c r="BA23" s="59"/>
      <c r="BB23" s="60">
        <f>Calc!$O$99</f>
        <v>135248.69999999998</v>
      </c>
      <c r="BC23" s="60"/>
      <c r="BD23" s="61">
        <f>Calc!$P$99</f>
        <v>2627</v>
      </c>
      <c r="BE23" s="61"/>
      <c r="BF23" s="61"/>
      <c r="BG23" s="60">
        <f>Calc!$Q$99</f>
        <v>450585.57</v>
      </c>
      <c r="BH23" s="60"/>
      <c r="BI23" s="62">
        <f>Calc!$R$99</f>
        <v>3.331533463907602</v>
      </c>
      <c r="BJ23" s="62"/>
      <c r="BK23" s="108">
        <f>Calc!$S$99</f>
        <v>51.484088313665772</v>
      </c>
      <c r="BL23" s="63"/>
      <c r="BM23" s="1"/>
    </row>
    <row r="24" spans="1:65" ht="21.75" customHeight="1" x14ac:dyDescent="0.3">
      <c r="A24" s="1"/>
      <c r="B24" s="26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8"/>
      <c r="U24" s="1"/>
      <c r="V24" s="26"/>
      <c r="W24" s="27"/>
      <c r="X24" s="27"/>
      <c r="Y24" s="27"/>
      <c r="Z24" s="27"/>
      <c r="AA24" s="27"/>
      <c r="AB24" s="27"/>
      <c r="AC24" s="27"/>
      <c r="AD24" s="28"/>
      <c r="AE24" s="1"/>
      <c r="AF24" s="26"/>
      <c r="AG24" s="27"/>
      <c r="AH24" s="27"/>
      <c r="AI24" s="27"/>
      <c r="AJ24" s="27"/>
      <c r="AK24" s="27"/>
      <c r="AL24" s="27"/>
      <c r="AM24" s="27"/>
      <c r="AN24" s="28"/>
      <c r="AO24" s="1"/>
      <c r="AP24" s="48">
        <f>IF(Calc!$K$100="","",6)</f>
        <v>6</v>
      </c>
      <c r="AQ24" s="52" t="str">
        <f>Calc!$K$100</f>
        <v>TikTok Ads</v>
      </c>
      <c r="AR24" s="52"/>
      <c r="AS24" s="52"/>
      <c r="AT24" s="53" t="str">
        <f>Calc!$L$100</f>
        <v>Shopping</v>
      </c>
      <c r="AU24" s="53"/>
      <c r="AV24" s="53"/>
      <c r="AW24" s="53" t="str">
        <f>Calc!$M$100</f>
        <v>SaaS</v>
      </c>
      <c r="AX24" s="53"/>
      <c r="AY24" s="53"/>
      <c r="AZ24" s="53" t="str">
        <f>Calc!$N$100</f>
        <v>India</v>
      </c>
      <c r="BA24" s="53"/>
      <c r="BB24" s="54">
        <f>Calc!$O$100</f>
        <v>47080.55</v>
      </c>
      <c r="BC24" s="54"/>
      <c r="BD24" s="55">
        <f>Calc!$P$100</f>
        <v>2630</v>
      </c>
      <c r="BE24" s="55"/>
      <c r="BF24" s="55"/>
      <c r="BG24" s="54">
        <f>Calc!$Q$100</f>
        <v>448558.22</v>
      </c>
      <c r="BH24" s="54"/>
      <c r="BI24" s="56">
        <f>Calc!$R$100</f>
        <v>9.5274634642118663</v>
      </c>
      <c r="BJ24" s="56"/>
      <c r="BK24" s="107">
        <f>Calc!$S$100</f>
        <v>17.901349809885932</v>
      </c>
      <c r="BL24" s="57"/>
      <c r="BM24" s="1"/>
    </row>
    <row r="25" spans="1:65" ht="21.75" customHeight="1" x14ac:dyDescent="0.3">
      <c r="A25" s="1"/>
      <c r="B25" s="26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8"/>
      <c r="U25" s="1"/>
      <c r="V25" s="26"/>
      <c r="W25" s="27"/>
      <c r="X25" s="27"/>
      <c r="Y25" s="27"/>
      <c r="Z25" s="27"/>
      <c r="AA25" s="27"/>
      <c r="AB25" s="27"/>
      <c r="AC25" s="27"/>
      <c r="AD25" s="28"/>
      <c r="AE25" s="1"/>
      <c r="AF25" s="26"/>
      <c r="AG25" s="27"/>
      <c r="AH25" s="27"/>
      <c r="AI25" s="27"/>
      <c r="AJ25" s="27"/>
      <c r="AK25" s="27"/>
      <c r="AL25" s="27"/>
      <c r="AM25" s="27"/>
      <c r="AN25" s="28"/>
      <c r="AO25" s="1"/>
      <c r="AP25" s="47">
        <f>IF(Calc!$K$101="","",7)</f>
        <v>7</v>
      </c>
      <c r="AQ25" s="58" t="str">
        <f>Calc!$K$101</f>
        <v>TikTok Ads</v>
      </c>
      <c r="AR25" s="58"/>
      <c r="AS25" s="58"/>
      <c r="AT25" s="59" t="str">
        <f>Calc!$L$101</f>
        <v>Search</v>
      </c>
      <c r="AU25" s="59"/>
      <c r="AV25" s="59"/>
      <c r="AW25" s="59" t="str">
        <f>Calc!$M$101</f>
        <v>E-commerce</v>
      </c>
      <c r="AX25" s="59"/>
      <c r="AY25" s="59"/>
      <c r="AZ25" s="59" t="str">
        <f>Calc!$N$101</f>
        <v>Canada</v>
      </c>
      <c r="BA25" s="59"/>
      <c r="BB25" s="60">
        <f>Calc!$O$101</f>
        <v>48942</v>
      </c>
      <c r="BC25" s="60"/>
      <c r="BD25" s="61">
        <f>Calc!$P$101</f>
        <v>2157</v>
      </c>
      <c r="BE25" s="61"/>
      <c r="BF25" s="61"/>
      <c r="BG25" s="60">
        <f>Calc!$Q$101</f>
        <v>447198.87</v>
      </c>
      <c r="BH25" s="60"/>
      <c r="BI25" s="62">
        <f>Calc!$R$101</f>
        <v>9.1373231580237828</v>
      </c>
      <c r="BJ25" s="62"/>
      <c r="BK25" s="108">
        <f>Calc!$S$101</f>
        <v>22.689847009735743</v>
      </c>
      <c r="BL25" s="63"/>
      <c r="BM25" s="1"/>
    </row>
    <row r="26" spans="1:65" ht="21.75" customHeight="1" x14ac:dyDescent="0.3">
      <c r="A26" s="1"/>
      <c r="B26" s="26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8"/>
      <c r="U26" s="1"/>
      <c r="V26" s="26"/>
      <c r="W26" s="27"/>
      <c r="X26" s="27"/>
      <c r="Y26" s="27"/>
      <c r="Z26" s="27"/>
      <c r="AA26" s="27"/>
      <c r="AB26" s="27"/>
      <c r="AC26" s="27"/>
      <c r="AD26" s="28"/>
      <c r="AE26" s="1"/>
      <c r="AF26" s="26"/>
      <c r="AG26" s="27"/>
      <c r="AH26" s="27"/>
      <c r="AI26" s="27"/>
      <c r="AJ26" s="27"/>
      <c r="AK26" s="27"/>
      <c r="AL26" s="27"/>
      <c r="AM26" s="27"/>
      <c r="AN26" s="28"/>
      <c r="AO26" s="1"/>
      <c r="AP26" s="48">
        <f>IF(Calc!$K$102="","",8)</f>
        <v>8</v>
      </c>
      <c r="AQ26" s="52" t="str">
        <f>Calc!$K$102</f>
        <v>TikTok Ads</v>
      </c>
      <c r="AR26" s="52"/>
      <c r="AS26" s="52"/>
      <c r="AT26" s="53" t="str">
        <f>Calc!$L$102</f>
        <v>Shopping</v>
      </c>
      <c r="AU26" s="53"/>
      <c r="AV26" s="53"/>
      <c r="AW26" s="53" t="str">
        <f>Calc!$M$102</f>
        <v>Healthcare</v>
      </c>
      <c r="AX26" s="53"/>
      <c r="AY26" s="53"/>
      <c r="AZ26" s="53" t="str">
        <f>Calc!$N$102</f>
        <v>Australia</v>
      </c>
      <c r="BA26" s="53"/>
      <c r="BB26" s="54">
        <f>Calc!$O$102</f>
        <v>57265.14</v>
      </c>
      <c r="BC26" s="54"/>
      <c r="BD26" s="55">
        <f>Calc!$P$102</f>
        <v>2671</v>
      </c>
      <c r="BE26" s="55"/>
      <c r="BF26" s="55"/>
      <c r="BG26" s="54">
        <f>Calc!$Q$102</f>
        <v>438104.10000000003</v>
      </c>
      <c r="BH26" s="54"/>
      <c r="BI26" s="56">
        <f>Calc!$R$102</f>
        <v>7.6504501691605054</v>
      </c>
      <c r="BJ26" s="56"/>
      <c r="BK26" s="107">
        <f>Calc!$S$102</f>
        <v>21.439588169225008</v>
      </c>
      <c r="BL26" s="57"/>
      <c r="BM26" s="1"/>
    </row>
    <row r="27" spans="1:65" ht="21.75" customHeight="1" x14ac:dyDescent="0.3">
      <c r="A27" s="1"/>
      <c r="B27" s="26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8"/>
      <c r="U27" s="1"/>
      <c r="V27" s="26"/>
      <c r="W27" s="27"/>
      <c r="X27" s="27"/>
      <c r="Y27" s="27"/>
      <c r="Z27" s="27"/>
      <c r="AA27" s="27"/>
      <c r="AB27" s="27"/>
      <c r="AC27" s="27"/>
      <c r="AD27" s="28"/>
      <c r="AE27" s="1"/>
      <c r="AF27" s="26"/>
      <c r="AG27" s="27"/>
      <c r="AH27" s="27"/>
      <c r="AI27" s="27"/>
      <c r="AJ27" s="27"/>
      <c r="AK27" s="27"/>
      <c r="AL27" s="27"/>
      <c r="AM27" s="27"/>
      <c r="AN27" s="28"/>
      <c r="AO27" s="1"/>
      <c r="AP27" s="47">
        <f>IF(Calc!$K$103="","",9)</f>
        <v>9</v>
      </c>
      <c r="AQ27" s="58" t="str">
        <f>Calc!$K$103</f>
        <v>TikTok Ads</v>
      </c>
      <c r="AR27" s="58"/>
      <c r="AS27" s="58"/>
      <c r="AT27" s="59" t="str">
        <f>Calc!$L$103</f>
        <v>Search</v>
      </c>
      <c r="AU27" s="59"/>
      <c r="AV27" s="59"/>
      <c r="AW27" s="59" t="str">
        <f>Calc!$M$103</f>
        <v>EdTech</v>
      </c>
      <c r="AX27" s="59"/>
      <c r="AY27" s="59"/>
      <c r="AZ27" s="59" t="str">
        <f>Calc!$N$103</f>
        <v>India</v>
      </c>
      <c r="BA27" s="59"/>
      <c r="BB27" s="60">
        <f>Calc!$O$103</f>
        <v>45802.069999999992</v>
      </c>
      <c r="BC27" s="60"/>
      <c r="BD27" s="61">
        <f>Calc!$P$103</f>
        <v>2125</v>
      </c>
      <c r="BE27" s="61"/>
      <c r="BF27" s="61"/>
      <c r="BG27" s="60">
        <f>Calc!$Q$103</f>
        <v>428403.47</v>
      </c>
      <c r="BH27" s="60"/>
      <c r="BI27" s="62">
        <f>Calc!$R$103</f>
        <v>9.3533648151710178</v>
      </c>
      <c r="BJ27" s="62"/>
      <c r="BK27" s="108">
        <f>Calc!$S$103</f>
        <v>21.553915294117644</v>
      </c>
      <c r="BL27" s="63"/>
      <c r="BM27" s="1"/>
    </row>
    <row r="28" spans="1:65" ht="21.75" customHeight="1" x14ac:dyDescent="0.3">
      <c r="A28" s="1"/>
      <c r="B28" s="26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8"/>
      <c r="U28" s="1"/>
      <c r="V28" s="26"/>
      <c r="W28" s="27"/>
      <c r="X28" s="27"/>
      <c r="Y28" s="27"/>
      <c r="Z28" s="27"/>
      <c r="AA28" s="27"/>
      <c r="AB28" s="27"/>
      <c r="AC28" s="27"/>
      <c r="AD28" s="28"/>
      <c r="AE28" s="1"/>
      <c r="AF28" s="26"/>
      <c r="AG28" s="27"/>
      <c r="AH28" s="27"/>
      <c r="AI28" s="27"/>
      <c r="AJ28" s="27"/>
      <c r="AK28" s="27"/>
      <c r="AL28" s="27"/>
      <c r="AM28" s="27"/>
      <c r="AN28" s="28"/>
      <c r="AO28" s="1"/>
      <c r="AP28" s="48">
        <f>IF(Calc!$K$104="","",10)</f>
        <v>10</v>
      </c>
      <c r="AQ28" s="52" t="str">
        <f>Calc!$K$104</f>
        <v>Google Ads</v>
      </c>
      <c r="AR28" s="52"/>
      <c r="AS28" s="52"/>
      <c r="AT28" s="53" t="str">
        <f>Calc!$L$104</f>
        <v>Search</v>
      </c>
      <c r="AU28" s="53"/>
      <c r="AV28" s="53"/>
      <c r="AW28" s="53" t="str">
        <f>Calc!$M$104</f>
        <v>E-commerce</v>
      </c>
      <c r="AX28" s="53"/>
      <c r="AY28" s="53"/>
      <c r="AZ28" s="53" t="str">
        <f>Calc!$N$104</f>
        <v>USA</v>
      </c>
      <c r="BA28" s="53"/>
      <c r="BB28" s="54">
        <f>Calc!$O$104</f>
        <v>70377.179999999993</v>
      </c>
      <c r="BC28" s="54"/>
      <c r="BD28" s="55">
        <f>Calc!$P$104</f>
        <v>2467</v>
      </c>
      <c r="BE28" s="55"/>
      <c r="BF28" s="55"/>
      <c r="BG28" s="54">
        <f>Calc!$Q$104</f>
        <v>421658.45999999996</v>
      </c>
      <c r="BH28" s="54"/>
      <c r="BI28" s="56">
        <f>Calc!$R$104</f>
        <v>5.9914088629297169</v>
      </c>
      <c r="BJ28" s="56"/>
      <c r="BK28" s="107">
        <f>Calc!$S$104</f>
        <v>28.527434130522899</v>
      </c>
      <c r="BL28" s="57"/>
      <c r="BM28" s="1"/>
    </row>
    <row r="29" spans="1:65" ht="9" customHeight="1" x14ac:dyDescent="0.3">
      <c r="A29" s="1"/>
      <c r="B29" s="26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8"/>
      <c r="U29" s="1"/>
      <c r="V29" s="26"/>
      <c r="W29" s="27"/>
      <c r="X29" s="27"/>
      <c r="Y29" s="27"/>
      <c r="Z29" s="27"/>
      <c r="AA29" s="27"/>
      <c r="AB29" s="27"/>
      <c r="AC29" s="27"/>
      <c r="AD29" s="28"/>
      <c r="AE29" s="1"/>
      <c r="AF29" s="26"/>
      <c r="AG29" s="27"/>
      <c r="AH29" s="27"/>
      <c r="AI29" s="27"/>
      <c r="AJ29" s="27"/>
      <c r="AK29" s="27"/>
      <c r="AL29" s="27"/>
      <c r="AM29" s="27"/>
      <c r="AN29" s="28"/>
      <c r="AO29" s="1"/>
      <c r="AP29" s="101" t="str">
        <f>"Green = better than the average of the current view (ROAS ≥ "&amp;ROUND(Calc!$B$26,2)&amp;"x, CPA ≤ $"&amp;ROUND(Calc!$B$27,2)&amp;"), red = worse.  ROAS = Revenue ÷ Ad Spend · CPA = Ad Spend ÷ Conversions · CTR = Clicks ÷ Impressions.  Currency assumed USD. Source: Data sheet ("&amp;(COUNTA(Data!A:A)-1)&amp;" records)."</f>
        <v>Green = better than the average of the current view (ROAS ≥ 4.88x, CPA ≤ $33.99), red = worse.  ROAS = Revenue ÷ Ad Spend · CPA = Ad Spend ÷ Conversions · CTR = Clicks ÷ Impressions.  Currency assumed USD. Source: Data sheet (1800 records).</v>
      </c>
      <c r="AQ29" s="102"/>
      <c r="AR29" s="102"/>
      <c r="AS29" s="102"/>
      <c r="AT29" s="102"/>
      <c r="AU29" s="102"/>
      <c r="AV29" s="102"/>
      <c r="AW29" s="102"/>
      <c r="AX29" s="102"/>
      <c r="AY29" s="102"/>
      <c r="AZ29" s="102"/>
      <c r="BA29" s="102"/>
      <c r="BB29" s="102"/>
      <c r="BC29" s="102"/>
      <c r="BD29" s="102"/>
      <c r="BE29" s="102"/>
      <c r="BF29" s="102"/>
      <c r="BG29" s="102"/>
      <c r="BH29" s="102"/>
      <c r="BI29" s="102"/>
      <c r="BJ29" s="102"/>
      <c r="BK29" s="102"/>
      <c r="BL29" s="103"/>
      <c r="BM29" s="1"/>
    </row>
    <row r="30" spans="1:65" ht="9" customHeight="1" x14ac:dyDescent="0.3">
      <c r="A30" s="1"/>
      <c r="B30" s="26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8"/>
      <c r="U30" s="1"/>
      <c r="V30" s="26"/>
      <c r="W30" s="27"/>
      <c r="X30" s="27"/>
      <c r="Y30" s="27"/>
      <c r="Z30" s="27"/>
      <c r="AA30" s="27"/>
      <c r="AB30" s="27"/>
      <c r="AC30" s="27"/>
      <c r="AD30" s="28"/>
      <c r="AE30" s="1"/>
      <c r="AF30" s="26"/>
      <c r="AG30" s="27"/>
      <c r="AH30" s="27"/>
      <c r="AI30" s="27"/>
      <c r="AJ30" s="27"/>
      <c r="AK30" s="27"/>
      <c r="AL30" s="27"/>
      <c r="AM30" s="27"/>
      <c r="AN30" s="28"/>
      <c r="AO30" s="1"/>
      <c r="AP30" s="101"/>
      <c r="AQ30" s="102"/>
      <c r="AR30" s="102"/>
      <c r="AS30" s="102"/>
      <c r="AT30" s="102"/>
      <c r="AU30" s="102"/>
      <c r="AV30" s="102"/>
      <c r="AW30" s="102"/>
      <c r="AX30" s="102"/>
      <c r="AY30" s="102"/>
      <c r="AZ30" s="102"/>
      <c r="BA30" s="102"/>
      <c r="BB30" s="102"/>
      <c r="BC30" s="102"/>
      <c r="BD30" s="102"/>
      <c r="BE30" s="102"/>
      <c r="BF30" s="102"/>
      <c r="BG30" s="102"/>
      <c r="BH30" s="102"/>
      <c r="BI30" s="102"/>
      <c r="BJ30" s="102"/>
      <c r="BK30" s="102"/>
      <c r="BL30" s="103"/>
      <c r="BM30" s="1"/>
    </row>
    <row r="31" spans="1:65" ht="9" customHeight="1" x14ac:dyDescent="0.3">
      <c r="A31" s="1"/>
      <c r="B31" s="26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8"/>
      <c r="U31" s="1"/>
      <c r="V31" s="26"/>
      <c r="W31" s="27"/>
      <c r="X31" s="27"/>
      <c r="Y31" s="27"/>
      <c r="Z31" s="27"/>
      <c r="AA31" s="27"/>
      <c r="AB31" s="27"/>
      <c r="AC31" s="27"/>
      <c r="AD31" s="28"/>
      <c r="AE31" s="1"/>
      <c r="AF31" s="26"/>
      <c r="AG31" s="27"/>
      <c r="AH31" s="27"/>
      <c r="AI31" s="27"/>
      <c r="AJ31" s="27"/>
      <c r="AK31" s="27"/>
      <c r="AL31" s="27"/>
      <c r="AM31" s="27"/>
      <c r="AN31" s="28"/>
      <c r="AO31" s="1"/>
      <c r="AP31" s="101"/>
      <c r="AQ31" s="102"/>
      <c r="AR31" s="102"/>
      <c r="AS31" s="102"/>
      <c r="AT31" s="102"/>
      <c r="AU31" s="102"/>
      <c r="AV31" s="102"/>
      <c r="AW31" s="102"/>
      <c r="AX31" s="102"/>
      <c r="AY31" s="102"/>
      <c r="AZ31" s="102"/>
      <c r="BA31" s="102"/>
      <c r="BB31" s="102"/>
      <c r="BC31" s="102"/>
      <c r="BD31" s="102"/>
      <c r="BE31" s="102"/>
      <c r="BF31" s="102"/>
      <c r="BG31" s="102"/>
      <c r="BH31" s="102"/>
      <c r="BI31" s="102"/>
      <c r="BJ31" s="102"/>
      <c r="BK31" s="102"/>
      <c r="BL31" s="103"/>
      <c r="BM31" s="1"/>
    </row>
    <row r="32" spans="1:65" ht="9" customHeight="1" x14ac:dyDescent="0.3">
      <c r="A32" s="1"/>
      <c r="B32" s="29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1"/>
      <c r="U32" s="1"/>
      <c r="V32" s="29"/>
      <c r="W32" s="30"/>
      <c r="X32" s="30"/>
      <c r="Y32" s="30"/>
      <c r="Z32" s="30"/>
      <c r="AA32" s="30"/>
      <c r="AB32" s="30"/>
      <c r="AC32" s="30"/>
      <c r="AD32" s="31"/>
      <c r="AE32" s="1"/>
      <c r="AF32" s="29"/>
      <c r="AG32" s="30"/>
      <c r="AH32" s="30"/>
      <c r="AI32" s="30"/>
      <c r="AJ32" s="30"/>
      <c r="AK32" s="30"/>
      <c r="AL32" s="30"/>
      <c r="AM32" s="30"/>
      <c r="AN32" s="31"/>
      <c r="AO32" s="1"/>
      <c r="AP32" s="104"/>
      <c r="AQ32" s="105"/>
      <c r="AR32" s="105"/>
      <c r="AS32" s="105"/>
      <c r="AT32" s="105"/>
      <c r="AU32" s="105"/>
      <c r="AV32" s="105"/>
      <c r="AW32" s="105"/>
      <c r="AX32" s="105"/>
      <c r="AY32" s="105"/>
      <c r="AZ32" s="105"/>
      <c r="BA32" s="105"/>
      <c r="BB32" s="105"/>
      <c r="BC32" s="105"/>
      <c r="BD32" s="105"/>
      <c r="BE32" s="105"/>
      <c r="BF32" s="105"/>
      <c r="BG32" s="105"/>
      <c r="BH32" s="105"/>
      <c r="BI32" s="105"/>
      <c r="BJ32" s="105"/>
      <c r="BK32" s="105"/>
      <c r="BL32" s="106"/>
      <c r="BM32" s="1"/>
    </row>
    <row r="33" spans="1:65" ht="7.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</row>
    <row r="34" spans="1:65" ht="27.75" customHeight="1" x14ac:dyDescent="0.3">
      <c r="A34" s="1"/>
      <c r="B34" s="64" t="s">
        <v>32</v>
      </c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1"/>
      <c r="V34" s="64" t="s">
        <v>33</v>
      </c>
      <c r="W34" s="64"/>
      <c r="X34" s="64"/>
      <c r="Y34" s="64"/>
      <c r="Z34" s="64"/>
      <c r="AA34" s="64"/>
      <c r="AB34" s="64"/>
      <c r="AC34" s="64"/>
      <c r="AD34" s="64"/>
      <c r="AE34" s="64"/>
      <c r="AF34" s="64"/>
      <c r="AG34" s="64"/>
      <c r="AH34" s="64"/>
      <c r="AI34" s="64"/>
      <c r="AJ34" s="64"/>
      <c r="AK34" s="64"/>
      <c r="AL34" s="64"/>
      <c r="AM34" s="64"/>
      <c r="AN34" s="64"/>
      <c r="AO34" s="1"/>
      <c r="AP34" s="112" t="s">
        <v>35</v>
      </c>
      <c r="AQ34" s="113"/>
      <c r="AR34" s="113"/>
      <c r="AS34" s="113"/>
      <c r="AT34" s="113"/>
      <c r="AU34" s="113"/>
      <c r="AV34" s="113"/>
      <c r="AW34" s="113"/>
      <c r="AX34" s="113"/>
      <c r="AY34" s="113"/>
      <c r="AZ34" s="113"/>
      <c r="BA34" s="113"/>
      <c r="BB34" s="113"/>
      <c r="BC34" s="113"/>
      <c r="BD34" s="113"/>
      <c r="BE34" s="113"/>
      <c r="BF34" s="113"/>
      <c r="BG34" s="113"/>
      <c r="BH34" s="113"/>
      <c r="BI34" s="113"/>
      <c r="BJ34" s="113"/>
      <c r="BK34" s="113"/>
      <c r="BL34" s="114"/>
      <c r="BM34" s="1"/>
    </row>
    <row r="35" spans="1:65" ht="17.55" customHeight="1" x14ac:dyDescent="0.3">
      <c r="A35" s="1"/>
      <c r="B35" s="26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8"/>
      <c r="U35" s="1"/>
      <c r="V35" s="26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8"/>
      <c r="AO35" s="1"/>
      <c r="AP35" s="49">
        <v>1</v>
      </c>
      <c r="AQ35" s="100" t="s">
        <v>36</v>
      </c>
      <c r="AR35" s="100"/>
      <c r="AS35" s="100"/>
      <c r="AT35" s="100"/>
      <c r="AU35" s="100"/>
      <c r="AV35" s="100"/>
      <c r="AW35" s="100"/>
      <c r="AX35" s="100"/>
      <c r="AY35" s="100"/>
      <c r="AZ35" s="100"/>
      <c r="BA35" s="100"/>
      <c r="BB35" s="100"/>
      <c r="BC35" s="100"/>
      <c r="BD35" s="100"/>
      <c r="BE35" s="100"/>
      <c r="BF35" s="100"/>
      <c r="BG35" s="100"/>
      <c r="BH35" s="100"/>
      <c r="BI35" s="100"/>
      <c r="BJ35" s="100"/>
      <c r="BK35" s="100"/>
      <c r="BL35" s="50"/>
      <c r="BM35" s="1"/>
    </row>
    <row r="36" spans="1:65" ht="17.55" customHeight="1" x14ac:dyDescent="0.3">
      <c r="A36" s="1"/>
      <c r="B36" s="26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8"/>
      <c r="U36" s="1"/>
      <c r="V36" s="26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8"/>
      <c r="AO36" s="1"/>
      <c r="AP36" s="49"/>
      <c r="AQ36" s="99" t="str">
        <f>Calc!$B$87</f>
        <v>Best platform: TikTok Ads returns 7.62x ROAS vs 3.47x on Google Ads - a gap of 4.15x revenue per $1 of spend.</v>
      </c>
      <c r="AR36" s="99"/>
      <c r="AS36" s="99"/>
      <c r="AT36" s="99"/>
      <c r="AU36" s="99"/>
      <c r="AV36" s="99"/>
      <c r="AW36" s="99"/>
      <c r="AX36" s="99"/>
      <c r="AY36" s="99"/>
      <c r="AZ36" s="99"/>
      <c r="BA36" s="99"/>
      <c r="BB36" s="99"/>
      <c r="BC36" s="99"/>
      <c r="BD36" s="99"/>
      <c r="BE36" s="99"/>
      <c r="BF36" s="99"/>
      <c r="BG36" s="99"/>
      <c r="BH36" s="99"/>
      <c r="BI36" s="99"/>
      <c r="BJ36" s="99"/>
      <c r="BK36" s="99"/>
      <c r="BL36" s="51"/>
      <c r="BM36" s="1"/>
    </row>
    <row r="37" spans="1:65" ht="17.55" customHeight="1" x14ac:dyDescent="0.3">
      <c r="A37" s="1"/>
      <c r="B37" s="26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8"/>
      <c r="U37" s="1"/>
      <c r="V37" s="26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8"/>
      <c r="AO37" s="1"/>
      <c r="AP37" s="49"/>
      <c r="AQ37" s="99"/>
      <c r="AR37" s="99"/>
      <c r="AS37" s="99"/>
      <c r="AT37" s="99"/>
      <c r="AU37" s="99"/>
      <c r="AV37" s="99"/>
      <c r="AW37" s="99"/>
      <c r="AX37" s="99"/>
      <c r="AY37" s="99"/>
      <c r="AZ37" s="99"/>
      <c r="BA37" s="99"/>
      <c r="BB37" s="99"/>
      <c r="BC37" s="99"/>
      <c r="BD37" s="99"/>
      <c r="BE37" s="99"/>
      <c r="BF37" s="99"/>
      <c r="BG37" s="99"/>
      <c r="BH37" s="99"/>
      <c r="BI37" s="99"/>
      <c r="BJ37" s="99"/>
      <c r="BK37" s="99"/>
      <c r="BL37" s="51"/>
      <c r="BM37" s="1"/>
    </row>
    <row r="38" spans="1:65" ht="17.55" customHeight="1" x14ac:dyDescent="0.3">
      <c r="A38" s="1"/>
      <c r="B38" s="26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8"/>
      <c r="U38" s="1"/>
      <c r="V38" s="26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8"/>
      <c r="AO38" s="1"/>
      <c r="AP38" s="49"/>
      <c r="AQ38" s="99"/>
      <c r="AR38" s="99"/>
      <c r="AS38" s="99"/>
      <c r="AT38" s="99"/>
      <c r="AU38" s="99"/>
      <c r="AV38" s="99"/>
      <c r="AW38" s="99"/>
      <c r="AX38" s="99"/>
      <c r="AY38" s="99"/>
      <c r="AZ38" s="99"/>
      <c r="BA38" s="99"/>
      <c r="BB38" s="99"/>
      <c r="BC38" s="99"/>
      <c r="BD38" s="99"/>
      <c r="BE38" s="99"/>
      <c r="BF38" s="99"/>
      <c r="BG38" s="99"/>
      <c r="BH38" s="99"/>
      <c r="BI38" s="99"/>
      <c r="BJ38" s="99"/>
      <c r="BK38" s="99"/>
      <c r="BL38" s="51"/>
      <c r="BM38" s="1"/>
    </row>
    <row r="39" spans="1:65" ht="17.55" customHeight="1" x14ac:dyDescent="0.3">
      <c r="A39" s="1"/>
      <c r="B39" s="26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8"/>
      <c r="U39" s="1"/>
      <c r="V39" s="26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8"/>
      <c r="AO39" s="1"/>
      <c r="AP39" s="49">
        <v>2</v>
      </c>
      <c r="AQ39" s="100" t="s">
        <v>37</v>
      </c>
      <c r="AR39" s="100"/>
      <c r="AS39" s="100"/>
      <c r="AT39" s="100"/>
      <c r="AU39" s="100"/>
      <c r="AV39" s="100"/>
      <c r="AW39" s="100"/>
      <c r="AX39" s="100"/>
      <c r="AY39" s="100"/>
      <c r="AZ39" s="100"/>
      <c r="BA39" s="100"/>
      <c r="BB39" s="100"/>
      <c r="BC39" s="100"/>
      <c r="BD39" s="100"/>
      <c r="BE39" s="100"/>
      <c r="BF39" s="100"/>
      <c r="BG39" s="100"/>
      <c r="BH39" s="100"/>
      <c r="BI39" s="100"/>
      <c r="BJ39" s="100"/>
      <c r="BK39" s="100"/>
      <c r="BL39" s="50"/>
      <c r="BM39" s="1"/>
    </row>
    <row r="40" spans="1:65" ht="17.55" customHeight="1" x14ac:dyDescent="0.3">
      <c r="A40" s="1"/>
      <c r="B40" s="26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8"/>
      <c r="U40" s="1"/>
      <c r="V40" s="26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8"/>
      <c r="AO40" s="1"/>
      <c r="AP40" s="49"/>
      <c r="AQ40" s="99" t="str">
        <f>Calc!$B$90</f>
        <v>SaaS leads industries at 5.04x ROAS, while Fintech trails at 4.48x. USA has the highest CPA ($36.01) vs $30.76 in India.</v>
      </c>
      <c r="AR40" s="99"/>
      <c r="AS40" s="99"/>
      <c r="AT40" s="99"/>
      <c r="AU40" s="99"/>
      <c r="AV40" s="99"/>
      <c r="AW40" s="99"/>
      <c r="AX40" s="99"/>
      <c r="AY40" s="99"/>
      <c r="AZ40" s="99"/>
      <c r="BA40" s="99"/>
      <c r="BB40" s="99"/>
      <c r="BC40" s="99"/>
      <c r="BD40" s="99"/>
      <c r="BE40" s="99"/>
      <c r="BF40" s="99"/>
      <c r="BG40" s="99"/>
      <c r="BH40" s="99"/>
      <c r="BI40" s="99"/>
      <c r="BJ40" s="99"/>
      <c r="BK40" s="99"/>
      <c r="BL40" s="51"/>
      <c r="BM40" s="1"/>
    </row>
    <row r="41" spans="1:65" ht="17.55" customHeight="1" x14ac:dyDescent="0.3">
      <c r="A41" s="1"/>
      <c r="B41" s="26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8"/>
      <c r="U41" s="1"/>
      <c r="V41" s="26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8"/>
      <c r="AO41" s="1"/>
      <c r="AP41" s="49"/>
      <c r="AQ41" s="99"/>
      <c r="AR41" s="99"/>
      <c r="AS41" s="99"/>
      <c r="AT41" s="99"/>
      <c r="AU41" s="99"/>
      <c r="AV41" s="99"/>
      <c r="AW41" s="99"/>
      <c r="AX41" s="99"/>
      <c r="AY41" s="99"/>
      <c r="AZ41" s="99"/>
      <c r="BA41" s="99"/>
      <c r="BB41" s="99"/>
      <c r="BC41" s="99"/>
      <c r="BD41" s="99"/>
      <c r="BE41" s="99"/>
      <c r="BF41" s="99"/>
      <c r="BG41" s="99"/>
      <c r="BH41" s="99"/>
      <c r="BI41" s="99"/>
      <c r="BJ41" s="99"/>
      <c r="BK41" s="99"/>
      <c r="BL41" s="51"/>
      <c r="BM41" s="1"/>
    </row>
    <row r="42" spans="1:65" ht="17.55" customHeight="1" x14ac:dyDescent="0.3">
      <c r="A42" s="1"/>
      <c r="B42" s="26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8"/>
      <c r="U42" s="1"/>
      <c r="V42" s="26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8"/>
      <c r="AO42" s="1"/>
      <c r="AP42" s="49"/>
      <c r="AQ42" s="99"/>
      <c r="AR42" s="99"/>
      <c r="AS42" s="99"/>
      <c r="AT42" s="99"/>
      <c r="AU42" s="99"/>
      <c r="AV42" s="99"/>
      <c r="AW42" s="99"/>
      <c r="AX42" s="99"/>
      <c r="AY42" s="99"/>
      <c r="AZ42" s="99"/>
      <c r="BA42" s="99"/>
      <c r="BB42" s="99"/>
      <c r="BC42" s="99"/>
      <c r="BD42" s="99"/>
      <c r="BE42" s="99"/>
      <c r="BF42" s="99"/>
      <c r="BG42" s="99"/>
      <c r="BH42" s="99"/>
      <c r="BI42" s="99"/>
      <c r="BJ42" s="99"/>
      <c r="BK42" s="99"/>
      <c r="BL42" s="51"/>
      <c r="BM42" s="1"/>
    </row>
    <row r="43" spans="1:65" ht="17.55" customHeight="1" x14ac:dyDescent="0.3">
      <c r="A43" s="1"/>
      <c r="B43" s="26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8"/>
      <c r="U43" s="1"/>
      <c r="V43" s="26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8"/>
      <c r="AO43" s="1"/>
      <c r="AP43" s="49">
        <v>3</v>
      </c>
      <c r="AQ43" s="100" t="s">
        <v>38</v>
      </c>
      <c r="AR43" s="100"/>
      <c r="AS43" s="100"/>
      <c r="AT43" s="100"/>
      <c r="AU43" s="100"/>
      <c r="AV43" s="100"/>
      <c r="AW43" s="100"/>
      <c r="AX43" s="100"/>
      <c r="AY43" s="100"/>
      <c r="AZ43" s="100"/>
      <c r="BA43" s="100"/>
      <c r="BB43" s="100"/>
      <c r="BC43" s="100"/>
      <c r="BD43" s="100"/>
      <c r="BE43" s="100"/>
      <c r="BF43" s="100"/>
      <c r="BG43" s="100"/>
      <c r="BH43" s="100"/>
      <c r="BI43" s="100"/>
      <c r="BJ43" s="100"/>
      <c r="BK43" s="100"/>
      <c r="BL43" s="50"/>
      <c r="BM43" s="1"/>
    </row>
    <row r="44" spans="1:65" ht="17.55" customHeight="1" x14ac:dyDescent="0.3">
      <c r="A44" s="1"/>
      <c r="B44" s="26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8"/>
      <c r="U44" s="1"/>
      <c r="V44" s="26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8"/>
      <c r="AO44" s="1"/>
      <c r="AP44" s="49"/>
      <c r="AQ44" s="99" t="str">
        <f>Calc!$B$91</f>
        <v>Shift budget from Google Ads toward TikTok Ads. Audit targeting in USA to cut CPA. Scale Search campaigns (highest CTR at 3.99%).</v>
      </c>
      <c r="AR44" s="99"/>
      <c r="AS44" s="99"/>
      <c r="AT44" s="99"/>
      <c r="AU44" s="99"/>
      <c r="AV44" s="99"/>
      <c r="AW44" s="99"/>
      <c r="AX44" s="99"/>
      <c r="AY44" s="99"/>
      <c r="AZ44" s="99"/>
      <c r="BA44" s="99"/>
      <c r="BB44" s="99"/>
      <c r="BC44" s="99"/>
      <c r="BD44" s="99"/>
      <c r="BE44" s="99"/>
      <c r="BF44" s="99"/>
      <c r="BG44" s="99"/>
      <c r="BH44" s="99"/>
      <c r="BI44" s="99"/>
      <c r="BJ44" s="99"/>
      <c r="BK44" s="99"/>
      <c r="BL44" s="51"/>
      <c r="BM44" s="1"/>
    </row>
    <row r="45" spans="1:65" ht="17.55" customHeight="1" x14ac:dyDescent="0.3">
      <c r="A45" s="1"/>
      <c r="B45" s="26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8"/>
      <c r="U45" s="1"/>
      <c r="V45" s="26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8"/>
      <c r="AO45" s="1"/>
      <c r="AP45" s="49"/>
      <c r="AQ45" s="99"/>
      <c r="AR45" s="99"/>
      <c r="AS45" s="99"/>
      <c r="AT45" s="99"/>
      <c r="AU45" s="99"/>
      <c r="AV45" s="99"/>
      <c r="AW45" s="99"/>
      <c r="AX45" s="99"/>
      <c r="AY45" s="99"/>
      <c r="AZ45" s="99"/>
      <c r="BA45" s="99"/>
      <c r="BB45" s="99"/>
      <c r="BC45" s="99"/>
      <c r="BD45" s="99"/>
      <c r="BE45" s="99"/>
      <c r="BF45" s="99"/>
      <c r="BG45" s="99"/>
      <c r="BH45" s="99"/>
      <c r="BI45" s="99"/>
      <c r="BJ45" s="99"/>
      <c r="BK45" s="99"/>
      <c r="BL45" s="51"/>
      <c r="BM45" s="1"/>
    </row>
    <row r="46" spans="1:65" ht="17.55" customHeight="1" x14ac:dyDescent="0.3">
      <c r="A46" s="1"/>
      <c r="B46" s="26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8"/>
      <c r="U46" s="1"/>
      <c r="V46" s="26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8"/>
      <c r="AO46" s="1"/>
      <c r="AP46" s="49"/>
      <c r="AQ46" s="99"/>
      <c r="AR46" s="99"/>
      <c r="AS46" s="99"/>
      <c r="AT46" s="99"/>
      <c r="AU46" s="99"/>
      <c r="AV46" s="99"/>
      <c r="AW46" s="99"/>
      <c r="AX46" s="99"/>
      <c r="AY46" s="99"/>
      <c r="AZ46" s="99"/>
      <c r="BA46" s="99"/>
      <c r="BB46" s="99"/>
      <c r="BC46" s="99"/>
      <c r="BD46" s="99"/>
      <c r="BE46" s="99"/>
      <c r="BF46" s="99"/>
      <c r="BG46" s="99"/>
      <c r="BH46" s="99"/>
      <c r="BI46" s="99"/>
      <c r="BJ46" s="99"/>
      <c r="BK46" s="99"/>
      <c r="BL46" s="51"/>
      <c r="BM46" s="1"/>
    </row>
    <row r="47" spans="1:65" ht="17.55" customHeight="1" x14ac:dyDescent="0.3">
      <c r="A47" s="1"/>
      <c r="B47" s="29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0"/>
      <c r="P47" s="30"/>
      <c r="Q47" s="30"/>
      <c r="R47" s="30"/>
      <c r="S47" s="30"/>
      <c r="T47" s="31"/>
      <c r="U47" s="1"/>
      <c r="V47" s="29"/>
      <c r="W47" s="30"/>
      <c r="X47" s="30"/>
      <c r="Y47" s="30"/>
      <c r="Z47" s="30"/>
      <c r="AA47" s="30"/>
      <c r="AB47" s="30"/>
      <c r="AC47" s="30"/>
      <c r="AD47" s="30"/>
      <c r="AE47" s="30"/>
      <c r="AF47" s="30"/>
      <c r="AG47" s="30"/>
      <c r="AH47" s="30"/>
      <c r="AI47" s="30"/>
      <c r="AJ47" s="30"/>
      <c r="AK47" s="30"/>
      <c r="AL47" s="30"/>
      <c r="AM47" s="30"/>
      <c r="AN47" s="31"/>
      <c r="AO47" s="1"/>
      <c r="AP47" s="29"/>
      <c r="AQ47" s="30"/>
      <c r="AR47" s="30"/>
      <c r="AS47" s="30"/>
      <c r="AT47" s="30"/>
      <c r="AU47" s="30"/>
      <c r="AV47" s="30"/>
      <c r="AW47" s="30"/>
      <c r="AX47" s="30"/>
      <c r="AY47" s="30"/>
      <c r="AZ47" s="30"/>
      <c r="BA47" s="30"/>
      <c r="BB47" s="30"/>
      <c r="BC47" s="30"/>
      <c r="BD47" s="30"/>
      <c r="BE47" s="30"/>
      <c r="BF47" s="30"/>
      <c r="BG47" s="30"/>
      <c r="BH47" s="30"/>
      <c r="BI47" s="30"/>
      <c r="BJ47" s="30"/>
      <c r="BK47" s="30"/>
      <c r="BL47" s="31"/>
      <c r="BM47" s="1"/>
    </row>
    <row r="48" spans="1:65" ht="7.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</row>
    <row r="49" spans="1:65" ht="6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</row>
  </sheetData>
  <mergeCells count="167">
    <mergeCell ref="AP17:BL17"/>
    <mergeCell ref="BK18:BL18"/>
    <mergeCell ref="BI18:BJ18"/>
    <mergeCell ref="BG18:BH18"/>
    <mergeCell ref="BD18:BF18"/>
    <mergeCell ref="BB18:BC18"/>
    <mergeCell ref="AZ18:BA18"/>
    <mergeCell ref="AW18:AY18"/>
    <mergeCell ref="AT18:AV18"/>
    <mergeCell ref="AQ18:AS18"/>
    <mergeCell ref="B12:E15"/>
    <mergeCell ref="F13:K13"/>
    <mergeCell ref="M13:R13"/>
    <mergeCell ref="T13:Y13"/>
    <mergeCell ref="AA13:AF13"/>
    <mergeCell ref="AH13:AM13"/>
    <mergeCell ref="F14:K14"/>
    <mergeCell ref="M14:R14"/>
    <mergeCell ref="T14:Y14"/>
    <mergeCell ref="AA14:AF14"/>
    <mergeCell ref="AH14:AM14"/>
    <mergeCell ref="AM8:AN8"/>
    <mergeCell ref="B10:E10"/>
    <mergeCell ref="F10:H10"/>
    <mergeCell ref="J10:M10"/>
    <mergeCell ref="N10:P10"/>
    <mergeCell ref="R10:U10"/>
    <mergeCell ref="V10:X10"/>
    <mergeCell ref="Z10:AC10"/>
    <mergeCell ref="AD10:AF10"/>
    <mergeCell ref="AH10:AK10"/>
    <mergeCell ref="AL10:AN10"/>
    <mergeCell ref="E8:F8"/>
    <mergeCell ref="G8:H8"/>
    <mergeCell ref="M8:N8"/>
    <mergeCell ref="O8:P8"/>
    <mergeCell ref="U8:V8"/>
    <mergeCell ref="W8:X8"/>
    <mergeCell ref="AC8:AD8"/>
    <mergeCell ref="AE8:AF8"/>
    <mergeCell ref="AK8:AL8"/>
    <mergeCell ref="AC6:AF6"/>
    <mergeCell ref="AI6:AJ7"/>
    <mergeCell ref="AK6:AN6"/>
    <mergeCell ref="E7:H7"/>
    <mergeCell ref="M7:P7"/>
    <mergeCell ref="U7:X7"/>
    <mergeCell ref="AC7:AF7"/>
    <mergeCell ref="AK7:AN7"/>
    <mergeCell ref="AC2:BL3"/>
    <mergeCell ref="B2:S2"/>
    <mergeCell ref="U2:AA3"/>
    <mergeCell ref="B3:S3"/>
    <mergeCell ref="C6:D7"/>
    <mergeCell ref="E6:H6"/>
    <mergeCell ref="K6:L7"/>
    <mergeCell ref="M6:P6"/>
    <mergeCell ref="S6:T7"/>
    <mergeCell ref="U6:X6"/>
    <mergeCell ref="AA6:AB7"/>
    <mergeCell ref="AP6:BL6"/>
    <mergeCell ref="B17:T17"/>
    <mergeCell ref="V17:AD17"/>
    <mergeCell ref="AF17:AN17"/>
    <mergeCell ref="B34:T34"/>
    <mergeCell ref="V34:AN34"/>
    <mergeCell ref="BI19:BJ19"/>
    <mergeCell ref="BK19:BL19"/>
    <mergeCell ref="AQ20:AS20"/>
    <mergeCell ref="AT20:AV20"/>
    <mergeCell ref="AW20:AY20"/>
    <mergeCell ref="AZ20:BA20"/>
    <mergeCell ref="BB20:BC20"/>
    <mergeCell ref="BD20:BF20"/>
    <mergeCell ref="BG20:BH20"/>
    <mergeCell ref="BI20:BJ20"/>
    <mergeCell ref="BK20:BL20"/>
    <mergeCell ref="BG19:BH19"/>
    <mergeCell ref="BD19:BF19"/>
    <mergeCell ref="BB19:BC19"/>
    <mergeCell ref="AZ19:BA19"/>
    <mergeCell ref="AW19:AY19"/>
    <mergeCell ref="AT19:AV19"/>
    <mergeCell ref="AQ19:AS19"/>
    <mergeCell ref="AQ21:AS21"/>
    <mergeCell ref="AT21:AV21"/>
    <mergeCell ref="AW21:AY21"/>
    <mergeCell ref="AZ21:BA21"/>
    <mergeCell ref="BB21:BC21"/>
    <mergeCell ref="BD21:BF21"/>
    <mergeCell ref="BG21:BH21"/>
    <mergeCell ref="BI21:BJ21"/>
    <mergeCell ref="BK21:BL21"/>
    <mergeCell ref="AQ22:AS22"/>
    <mergeCell ref="AT22:AV22"/>
    <mergeCell ref="AW22:AY22"/>
    <mergeCell ref="AZ22:BA22"/>
    <mergeCell ref="BB22:BC22"/>
    <mergeCell ref="BD22:BF22"/>
    <mergeCell ref="BG22:BH22"/>
    <mergeCell ref="BI22:BJ22"/>
    <mergeCell ref="BK22:BL22"/>
    <mergeCell ref="AQ23:AS23"/>
    <mergeCell ref="AT23:AV23"/>
    <mergeCell ref="AW23:AY23"/>
    <mergeCell ref="AZ23:BA23"/>
    <mergeCell ref="BB23:BC23"/>
    <mergeCell ref="BD23:BF23"/>
    <mergeCell ref="BG23:BH23"/>
    <mergeCell ref="BI23:BJ23"/>
    <mergeCell ref="BK23:BL23"/>
    <mergeCell ref="AQ24:AS24"/>
    <mergeCell ref="AT24:AV24"/>
    <mergeCell ref="AW24:AY24"/>
    <mergeCell ref="AZ24:BA24"/>
    <mergeCell ref="BB24:BC24"/>
    <mergeCell ref="BD24:BF24"/>
    <mergeCell ref="BG24:BH24"/>
    <mergeCell ref="BI24:BJ24"/>
    <mergeCell ref="BK24:BL24"/>
    <mergeCell ref="AQ25:AS25"/>
    <mergeCell ref="AT25:AV25"/>
    <mergeCell ref="AW25:AY25"/>
    <mergeCell ref="AZ25:BA25"/>
    <mergeCell ref="BB25:BC25"/>
    <mergeCell ref="BD25:BF25"/>
    <mergeCell ref="BG25:BH25"/>
    <mergeCell ref="BI25:BJ25"/>
    <mergeCell ref="BK25:BL25"/>
    <mergeCell ref="AQ26:AS26"/>
    <mergeCell ref="AT26:AV26"/>
    <mergeCell ref="AW26:AY26"/>
    <mergeCell ref="AZ26:BA26"/>
    <mergeCell ref="BB26:BC26"/>
    <mergeCell ref="BD26:BF26"/>
    <mergeCell ref="BG26:BH26"/>
    <mergeCell ref="BI26:BJ26"/>
    <mergeCell ref="BK26:BL26"/>
    <mergeCell ref="AQ27:AS27"/>
    <mergeCell ref="AT27:AV27"/>
    <mergeCell ref="AW27:AY27"/>
    <mergeCell ref="AZ27:BA27"/>
    <mergeCell ref="BB27:BC27"/>
    <mergeCell ref="BD27:BF27"/>
    <mergeCell ref="BG27:BH27"/>
    <mergeCell ref="BI27:BJ27"/>
    <mergeCell ref="BK27:BL27"/>
    <mergeCell ref="AQ28:AS28"/>
    <mergeCell ref="AT28:AV28"/>
    <mergeCell ref="AW28:AY28"/>
    <mergeCell ref="AZ28:BA28"/>
    <mergeCell ref="BB28:BC28"/>
    <mergeCell ref="BD28:BF28"/>
    <mergeCell ref="BG28:BH28"/>
    <mergeCell ref="BI28:BJ28"/>
    <mergeCell ref="BK28:BL28"/>
    <mergeCell ref="AP29:BL32"/>
    <mergeCell ref="AP35:AP38"/>
    <mergeCell ref="AQ35:BL35"/>
    <mergeCell ref="AQ36:BL38"/>
    <mergeCell ref="AP39:AP42"/>
    <mergeCell ref="AQ39:BL39"/>
    <mergeCell ref="AQ40:BL42"/>
    <mergeCell ref="AP43:AP46"/>
    <mergeCell ref="AQ43:BL43"/>
    <mergeCell ref="AQ44:BL46"/>
    <mergeCell ref="AP34:BL34"/>
  </mergeCells>
  <printOptions horizontalCentered="1" verticalCentered="1"/>
  <pageMargins left="0.25" right="0.25" top="0.25" bottom="0.25" header="0.1" footer="0.1"/>
  <pageSetup paperSize="9" orientation="landscape" horizontalDpi="300" verticalDpi="30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000000-000E-0000-0000-000002000000}">
            <xm:f>Calc!$F$21=1</xm:f>
            <x14:dxf>
              <font>
                <b/>
                <color rgb="FF1E9E5A"/>
                <name val="Arial"/>
                <charset val="1"/>
              </font>
            </x14:dxf>
          </x14:cfRule>
          <x14:cfRule type="expression" priority="3" id="{00000000-000E-0000-0000-000003000000}">
            <xm:f>Calc!$F$21=-1</xm:f>
            <x14:dxf>
              <font>
                <b/>
                <color rgb="FFD93B3B"/>
                <name val="Arial"/>
                <charset val="1"/>
              </font>
            </x14:dxf>
          </x14:cfRule>
          <xm:sqref>E8</xm:sqref>
        </x14:conditionalFormatting>
        <x14:conditionalFormatting xmlns:xm="http://schemas.microsoft.com/office/excel/2006/main">
          <x14:cfRule type="expression" priority="4" id="{00000000-000E-0000-0000-000004000000}">
            <xm:f>Calc!$F$22=1</xm:f>
            <x14:dxf>
              <font>
                <b/>
                <color rgb="FF1E9E5A"/>
                <name val="Arial"/>
                <charset val="1"/>
              </font>
            </x14:dxf>
          </x14:cfRule>
          <x14:cfRule type="expression" priority="5" id="{00000000-000E-0000-0000-000005000000}">
            <xm:f>Calc!$F$22=-1</xm:f>
            <x14:dxf>
              <font>
                <b/>
                <color rgb="FFD93B3B"/>
                <name val="Arial"/>
                <charset val="1"/>
              </font>
            </x14:dxf>
          </x14:cfRule>
          <xm:sqref>M8</xm:sqref>
        </x14:conditionalFormatting>
        <x14:conditionalFormatting xmlns:xm="http://schemas.microsoft.com/office/excel/2006/main">
          <x14:cfRule type="expression" priority="6" id="{00000000-000E-0000-0000-000006000000}">
            <xm:f>Calc!$F$26=1</xm:f>
            <x14:dxf>
              <font>
                <b/>
                <color rgb="FF1E9E5A"/>
                <name val="Arial"/>
                <charset val="1"/>
              </font>
            </x14:dxf>
          </x14:cfRule>
          <x14:cfRule type="expression" priority="7" id="{00000000-000E-0000-0000-000007000000}">
            <xm:f>Calc!$F$26=-1</xm:f>
            <x14:dxf>
              <font>
                <b/>
                <color rgb="FFD93B3B"/>
                <name val="Arial"/>
                <charset val="1"/>
              </font>
            </x14:dxf>
          </x14:cfRule>
          <xm:sqref>U8</xm:sqref>
        </x14:conditionalFormatting>
        <x14:conditionalFormatting xmlns:xm="http://schemas.microsoft.com/office/excel/2006/main">
          <x14:cfRule type="expression" priority="8" id="{00000000-000E-0000-0000-000008000000}">
            <xm:f>Calc!$F$27=1</xm:f>
            <x14:dxf>
              <font>
                <b/>
                <color rgb="FF1E9E5A"/>
                <name val="Arial"/>
                <charset val="1"/>
              </font>
            </x14:dxf>
          </x14:cfRule>
          <x14:cfRule type="expression" priority="9" id="{00000000-000E-0000-0000-000009000000}">
            <xm:f>Calc!$F$27=-1</xm:f>
            <x14:dxf>
              <font>
                <b/>
                <color rgb="FFD93B3B"/>
                <name val="Arial"/>
                <charset val="1"/>
              </font>
            </x14:dxf>
          </x14:cfRule>
          <xm:sqref>AC8</xm:sqref>
        </x14:conditionalFormatting>
        <x14:conditionalFormatting xmlns:xm="http://schemas.microsoft.com/office/excel/2006/main">
          <x14:cfRule type="expression" priority="10" id="{00000000-000E-0000-0000-00000A000000}">
            <xm:f>Calc!$F$23=1</xm:f>
            <x14:dxf>
              <font>
                <b/>
                <color rgb="FF1E9E5A"/>
                <name val="Arial"/>
                <charset val="1"/>
              </font>
            </x14:dxf>
          </x14:cfRule>
          <x14:cfRule type="expression" priority="11" id="{00000000-000E-0000-0000-00000B000000}">
            <xm:f>Calc!$F$23=-1</xm:f>
            <x14:dxf>
              <font>
                <b/>
                <color rgb="FFD93B3B"/>
                <name val="Arial"/>
                <charset val="1"/>
              </font>
            </x14:dxf>
          </x14:cfRule>
          <xm:sqref>AK8</xm:sqref>
        </x14:conditionalFormatting>
        <x14:conditionalFormatting xmlns:xm="http://schemas.microsoft.com/office/excel/2006/main">
          <x14:cfRule type="expression" priority="12" id="{00000000-000E-0000-0000-00000C000000}">
            <xm:f>AND(ISNUMBER(BI19),BI19&gt;=Calc!$B$26)</xm:f>
            <x14:dxf>
              <font>
                <b/>
                <color rgb="FF1E9E5A"/>
                <name val="Arial"/>
                <charset val="1"/>
              </font>
            </x14:dxf>
          </x14:cfRule>
          <x14:cfRule type="expression" priority="13" id="{00000000-000E-0000-0000-00000D000000}">
            <xm:f>AND(ISNUMBER(BI19),BI19&lt;Calc!$B$26)</xm:f>
            <x14:dxf>
              <font>
                <b/>
                <color rgb="FFD93B3B"/>
                <name val="Arial"/>
                <charset val="1"/>
              </font>
            </x14:dxf>
          </x14:cfRule>
          <xm:sqref>BI19:BI28</xm:sqref>
        </x14:conditionalFormatting>
        <x14:conditionalFormatting xmlns:xm="http://schemas.microsoft.com/office/excel/2006/main">
          <x14:cfRule type="expression" priority="14" id="{00000000-000E-0000-0000-00000E000000}">
            <xm:f>AND(ISNUMBER(BK19),BK19&lt;=Calc!$B$27)</xm:f>
            <x14:dxf>
              <font>
                <b/>
                <color rgb="FF1E9E5A"/>
                <name val="Arial"/>
                <charset val="1"/>
              </font>
            </x14:dxf>
          </x14:cfRule>
          <x14:cfRule type="expression" priority="15" id="{00000000-000E-0000-0000-00000F000000}">
            <xm:f>AND(ISNUMBER(BK19),BK19&gt;Calc!$B$27)</xm:f>
            <x14:dxf>
              <font>
                <b/>
                <color rgb="FFD93B3B"/>
                <name val="Arial"/>
                <charset val="1"/>
              </font>
            </x14:dxf>
          </x14:cfRule>
          <xm:sqref>BK19:BK28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5">
        <x14:dataValidation type="list" showInputMessage="1" showErrorMessage="1" errorTitle="Pick from the list" error="Please choose a value from the dropdown list." promptTitle="Date Range" prompt="Choose a value from the dropdown." xr:uid="{00000000-0002-0000-0000-000000000000}">
          <x14:formula1>
            <xm:f>Lists!$A$4:$A$22</xm:f>
          </x14:formula1>
          <x14:formula2>
            <xm:f>0</xm:f>
          </x14:formula2>
          <xm:sqref>F14</xm:sqref>
        </x14:dataValidation>
        <x14:dataValidation type="list" showInputMessage="1" showErrorMessage="1" errorTitle="Pick from the list" error="Please choose a value from the dropdown list." promptTitle="Platform" prompt="Choose a value from the dropdown." xr:uid="{00000000-0002-0000-0000-000001000000}">
          <x14:formula1>
            <xm:f>Lists!$E$4:$E$7</xm:f>
          </x14:formula1>
          <x14:formula2>
            <xm:f>0</xm:f>
          </x14:formula2>
          <xm:sqref>M14</xm:sqref>
        </x14:dataValidation>
        <x14:dataValidation type="list" showInputMessage="1" showErrorMessage="1" errorTitle="Pick from the list" error="Please choose a value from the dropdown list." promptTitle="Industry" prompt="Choose a value from the dropdown." xr:uid="{00000000-0002-0000-0000-000002000000}">
          <x14:formula1>
            <xm:f>Lists!$G$4:$G$9</xm:f>
          </x14:formula1>
          <x14:formula2>
            <xm:f>0</xm:f>
          </x14:formula2>
          <xm:sqref>T14</xm:sqref>
        </x14:dataValidation>
        <x14:dataValidation type="list" showInputMessage="1" showErrorMessage="1" errorTitle="Pick from the list" error="Please choose a value from the dropdown list." promptTitle="Country" prompt="Choose a value from the dropdown." xr:uid="{00000000-0002-0000-0000-000003000000}">
          <x14:formula1>
            <xm:f>Lists!$I$4:$I$11</xm:f>
          </x14:formula1>
          <x14:formula2>
            <xm:f>0</xm:f>
          </x14:formula2>
          <xm:sqref>AA14</xm:sqref>
        </x14:dataValidation>
        <x14:dataValidation type="list" showInputMessage="1" showErrorMessage="1" errorTitle="Pick from the list" error="Please choose a value from the dropdown list." promptTitle="Campaign Type" prompt="Choose a value from the dropdown." xr:uid="{00000000-0002-0000-0000-000004000000}">
          <x14:formula1>
            <xm:f>Lists!$K$4:$K$8</xm:f>
          </x14:formula1>
          <x14:formula2>
            <xm:f>0</xm:f>
          </x14:formula2>
          <xm:sqref>AH14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8896AB"/>
  </sheetPr>
  <dimension ref="A1:N180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4" width="15" customWidth="1"/>
  </cols>
  <sheetData>
    <row r="1" spans="1:14" x14ac:dyDescent="0.3">
      <c r="A1" s="32" t="s">
        <v>50</v>
      </c>
      <c r="B1" s="32" t="s">
        <v>51</v>
      </c>
      <c r="C1" s="32" t="s">
        <v>52</v>
      </c>
      <c r="D1" s="32" t="s">
        <v>53</v>
      </c>
      <c r="E1" s="32" t="s">
        <v>54</v>
      </c>
      <c r="F1" s="32" t="s">
        <v>55</v>
      </c>
      <c r="G1" s="32" t="s">
        <v>56</v>
      </c>
      <c r="H1" s="32" t="s">
        <v>15</v>
      </c>
      <c r="I1" s="32" t="s">
        <v>16</v>
      </c>
      <c r="J1" s="32" t="s">
        <v>57</v>
      </c>
      <c r="K1" s="32" t="s">
        <v>58</v>
      </c>
      <c r="L1" s="32" t="s">
        <v>49</v>
      </c>
      <c r="M1" s="32" t="s">
        <v>59</v>
      </c>
      <c r="N1" s="32" t="s">
        <v>48</v>
      </c>
    </row>
    <row r="2" spans="1:14" x14ac:dyDescent="0.3">
      <c r="A2" s="33">
        <v>45312</v>
      </c>
      <c r="B2" s="34" t="s">
        <v>60</v>
      </c>
      <c r="C2" s="34" t="s">
        <v>61</v>
      </c>
      <c r="D2" s="34" t="s">
        <v>62</v>
      </c>
      <c r="E2" s="34" t="s">
        <v>63</v>
      </c>
      <c r="F2" s="35">
        <v>59886</v>
      </c>
      <c r="G2" s="35">
        <v>2113</v>
      </c>
      <c r="H2" s="36">
        <v>3.5299999999999998E-2</v>
      </c>
      <c r="I2" s="37">
        <v>1.26</v>
      </c>
      <c r="J2" s="37">
        <v>2662.38</v>
      </c>
      <c r="K2" s="35">
        <v>159</v>
      </c>
      <c r="L2" s="37">
        <v>16.739999999999998</v>
      </c>
      <c r="M2" s="37">
        <v>4803.43</v>
      </c>
      <c r="N2" s="38">
        <v>1.8</v>
      </c>
    </row>
    <row r="3" spans="1:14" x14ac:dyDescent="0.3">
      <c r="A3" s="33">
        <v>45313</v>
      </c>
      <c r="B3" s="34" t="s">
        <v>64</v>
      </c>
      <c r="C3" s="34" t="s">
        <v>61</v>
      </c>
      <c r="D3" s="34" t="s">
        <v>65</v>
      </c>
      <c r="E3" s="34" t="s">
        <v>66</v>
      </c>
      <c r="F3" s="35">
        <v>135608</v>
      </c>
      <c r="G3" s="35">
        <v>5220</v>
      </c>
      <c r="H3" s="36">
        <v>3.85E-2</v>
      </c>
      <c r="I3" s="37">
        <v>1.18</v>
      </c>
      <c r="J3" s="37">
        <v>6159.6</v>
      </c>
      <c r="K3" s="35">
        <v>411</v>
      </c>
      <c r="L3" s="37">
        <v>14.99</v>
      </c>
      <c r="M3" s="37">
        <v>64126.68</v>
      </c>
      <c r="N3" s="38">
        <v>10.41</v>
      </c>
    </row>
    <row r="4" spans="1:14" x14ac:dyDescent="0.3">
      <c r="A4" s="33">
        <v>45458</v>
      </c>
      <c r="B4" s="34" t="s">
        <v>64</v>
      </c>
      <c r="C4" s="34" t="s">
        <v>67</v>
      </c>
      <c r="D4" s="34" t="s">
        <v>68</v>
      </c>
      <c r="E4" s="34" t="s">
        <v>69</v>
      </c>
      <c r="F4" s="35">
        <v>92313</v>
      </c>
      <c r="G4" s="35">
        <v>5991</v>
      </c>
      <c r="H4" s="36">
        <v>6.4899999999999999E-2</v>
      </c>
      <c r="I4" s="37">
        <v>0.85</v>
      </c>
      <c r="J4" s="37">
        <v>5092.3500000000004</v>
      </c>
      <c r="K4" s="35">
        <v>267</v>
      </c>
      <c r="L4" s="37">
        <v>19.07</v>
      </c>
      <c r="M4" s="37">
        <v>10489.07</v>
      </c>
      <c r="N4" s="38">
        <v>2.06</v>
      </c>
    </row>
    <row r="5" spans="1:14" x14ac:dyDescent="0.3">
      <c r="A5" s="33">
        <v>45293</v>
      </c>
      <c r="B5" s="34" t="s">
        <v>64</v>
      </c>
      <c r="C5" s="34" t="s">
        <v>70</v>
      </c>
      <c r="D5" s="34" t="s">
        <v>71</v>
      </c>
      <c r="E5" s="34" t="s">
        <v>72</v>
      </c>
      <c r="F5" s="35">
        <v>83953</v>
      </c>
      <c r="G5" s="35">
        <v>5935</v>
      </c>
      <c r="H5" s="36">
        <v>7.0699999999999999E-2</v>
      </c>
      <c r="I5" s="37">
        <v>1.32</v>
      </c>
      <c r="J5" s="37">
        <v>7834.2</v>
      </c>
      <c r="K5" s="35">
        <v>296</v>
      </c>
      <c r="L5" s="37">
        <v>26.47</v>
      </c>
      <c r="M5" s="37">
        <v>50505.07</v>
      </c>
      <c r="N5" s="38">
        <v>6.45</v>
      </c>
    </row>
    <row r="6" spans="1:14" x14ac:dyDescent="0.3">
      <c r="A6" s="33">
        <v>45344</v>
      </c>
      <c r="B6" s="34" t="s">
        <v>64</v>
      </c>
      <c r="C6" s="34" t="s">
        <v>61</v>
      </c>
      <c r="D6" s="34" t="s">
        <v>68</v>
      </c>
      <c r="E6" s="34" t="s">
        <v>66</v>
      </c>
      <c r="F6" s="35">
        <v>91807</v>
      </c>
      <c r="G6" s="35">
        <v>4489</v>
      </c>
      <c r="H6" s="36">
        <v>4.8899999999999999E-2</v>
      </c>
      <c r="I6" s="37">
        <v>1.93</v>
      </c>
      <c r="J6" s="37">
        <v>8663.77</v>
      </c>
      <c r="K6" s="35">
        <v>107</v>
      </c>
      <c r="L6" s="37">
        <v>80.97</v>
      </c>
      <c r="M6" s="37">
        <v>3369.53</v>
      </c>
      <c r="N6" s="38">
        <v>0.39</v>
      </c>
    </row>
    <row r="7" spans="1:14" x14ac:dyDescent="0.3">
      <c r="A7" s="33">
        <v>45580</v>
      </c>
      <c r="B7" s="34" t="s">
        <v>64</v>
      </c>
      <c r="C7" s="34" t="s">
        <v>61</v>
      </c>
      <c r="D7" s="34" t="s">
        <v>62</v>
      </c>
      <c r="E7" s="34" t="s">
        <v>73</v>
      </c>
      <c r="F7" s="35">
        <v>17666</v>
      </c>
      <c r="G7" s="35">
        <v>724</v>
      </c>
      <c r="H7" s="36">
        <v>4.1000000000000002E-2</v>
      </c>
      <c r="I7" s="37">
        <v>0.37</v>
      </c>
      <c r="J7" s="37">
        <v>267.88</v>
      </c>
      <c r="K7" s="35">
        <v>23</v>
      </c>
      <c r="L7" s="37">
        <v>11.65</v>
      </c>
      <c r="M7" s="37">
        <v>5220.8500000000004</v>
      </c>
      <c r="N7" s="38">
        <v>19.489999999999998</v>
      </c>
    </row>
    <row r="8" spans="1:14" x14ac:dyDescent="0.3">
      <c r="A8" s="33">
        <v>45518</v>
      </c>
      <c r="B8" s="34" t="s">
        <v>74</v>
      </c>
      <c r="C8" s="34" t="s">
        <v>67</v>
      </c>
      <c r="D8" s="34" t="s">
        <v>62</v>
      </c>
      <c r="E8" s="34" t="s">
        <v>69</v>
      </c>
      <c r="F8" s="35">
        <v>118252</v>
      </c>
      <c r="G8" s="35">
        <v>3748</v>
      </c>
      <c r="H8" s="36">
        <v>3.1699999999999999E-2</v>
      </c>
      <c r="I8" s="37">
        <v>0.42</v>
      </c>
      <c r="J8" s="37">
        <v>1574.16</v>
      </c>
      <c r="K8" s="35">
        <v>152</v>
      </c>
      <c r="L8" s="37">
        <v>10.36</v>
      </c>
      <c r="M8" s="37">
        <v>12838.56</v>
      </c>
      <c r="N8" s="38">
        <v>8.16</v>
      </c>
    </row>
    <row r="9" spans="1:14" x14ac:dyDescent="0.3">
      <c r="A9" s="33">
        <v>45387</v>
      </c>
      <c r="B9" s="34" t="s">
        <v>64</v>
      </c>
      <c r="C9" s="34" t="s">
        <v>61</v>
      </c>
      <c r="D9" s="34" t="s">
        <v>65</v>
      </c>
      <c r="E9" s="34" t="s">
        <v>63</v>
      </c>
      <c r="F9" s="35">
        <v>92939</v>
      </c>
      <c r="G9" s="35">
        <v>5176</v>
      </c>
      <c r="H9" s="36">
        <v>5.57E-2</v>
      </c>
      <c r="I9" s="37">
        <v>0.66</v>
      </c>
      <c r="J9" s="37">
        <v>3416.16</v>
      </c>
      <c r="K9" s="35">
        <v>388</v>
      </c>
      <c r="L9" s="37">
        <v>8.8000000000000007</v>
      </c>
      <c r="M9" s="37">
        <v>96298.69</v>
      </c>
      <c r="N9" s="38">
        <v>28.19</v>
      </c>
    </row>
    <row r="10" spans="1:14" x14ac:dyDescent="0.3">
      <c r="A10" s="33">
        <v>45399</v>
      </c>
      <c r="B10" s="34" t="s">
        <v>74</v>
      </c>
      <c r="C10" s="34" t="s">
        <v>75</v>
      </c>
      <c r="D10" s="34" t="s">
        <v>65</v>
      </c>
      <c r="E10" s="34" t="s">
        <v>72</v>
      </c>
      <c r="F10" s="35">
        <v>30939</v>
      </c>
      <c r="G10" s="35">
        <v>937</v>
      </c>
      <c r="H10" s="36">
        <v>3.0300000000000001E-2</v>
      </c>
      <c r="I10" s="37">
        <v>0.59</v>
      </c>
      <c r="J10" s="37">
        <v>552.83000000000004</v>
      </c>
      <c r="K10" s="35">
        <v>63</v>
      </c>
      <c r="L10" s="37">
        <v>8.7799999999999994</v>
      </c>
      <c r="M10" s="37">
        <v>16531.03</v>
      </c>
      <c r="N10" s="38">
        <v>29.9</v>
      </c>
    </row>
    <row r="11" spans="1:14" x14ac:dyDescent="0.3">
      <c r="A11" s="33">
        <v>45609</v>
      </c>
      <c r="B11" s="34" t="s">
        <v>60</v>
      </c>
      <c r="C11" s="34" t="s">
        <v>70</v>
      </c>
      <c r="D11" s="34" t="s">
        <v>62</v>
      </c>
      <c r="E11" s="34" t="s">
        <v>69</v>
      </c>
      <c r="F11" s="35">
        <v>8748</v>
      </c>
      <c r="G11" s="35">
        <v>362</v>
      </c>
      <c r="H11" s="36">
        <v>4.1399999999999999E-2</v>
      </c>
      <c r="I11" s="37">
        <v>1.21</v>
      </c>
      <c r="J11" s="37">
        <v>438.02</v>
      </c>
      <c r="K11" s="35">
        <v>10</v>
      </c>
      <c r="L11" s="37">
        <v>43.8</v>
      </c>
      <c r="M11" s="37">
        <v>966.57</v>
      </c>
      <c r="N11" s="38">
        <v>2.21</v>
      </c>
    </row>
    <row r="12" spans="1:14" x14ac:dyDescent="0.3">
      <c r="A12" s="33">
        <v>45404</v>
      </c>
      <c r="B12" s="34" t="s">
        <v>74</v>
      </c>
      <c r="C12" s="34" t="s">
        <v>67</v>
      </c>
      <c r="D12" s="34" t="s">
        <v>76</v>
      </c>
      <c r="E12" s="34" t="s">
        <v>63</v>
      </c>
      <c r="F12" s="35">
        <v>98264</v>
      </c>
      <c r="G12" s="35">
        <v>3144</v>
      </c>
      <c r="H12" s="36">
        <v>3.2000000000000001E-2</v>
      </c>
      <c r="I12" s="37">
        <v>1.56</v>
      </c>
      <c r="J12" s="37">
        <v>4904.6400000000003</v>
      </c>
      <c r="K12" s="35">
        <v>129</v>
      </c>
      <c r="L12" s="37">
        <v>38.020000000000003</v>
      </c>
      <c r="M12" s="37">
        <v>23127.27</v>
      </c>
      <c r="N12" s="38">
        <v>4.72</v>
      </c>
    </row>
    <row r="13" spans="1:14" x14ac:dyDescent="0.3">
      <c r="A13" s="33">
        <v>45546</v>
      </c>
      <c r="B13" s="34" t="s">
        <v>74</v>
      </c>
      <c r="C13" s="34" t="s">
        <v>67</v>
      </c>
      <c r="D13" s="34" t="s">
        <v>62</v>
      </c>
      <c r="E13" s="34" t="s">
        <v>73</v>
      </c>
      <c r="F13" s="35">
        <v>173229</v>
      </c>
      <c r="G13" s="35">
        <v>5092</v>
      </c>
      <c r="H13" s="36">
        <v>2.9399999999999999E-2</v>
      </c>
      <c r="I13" s="37">
        <v>1.72</v>
      </c>
      <c r="J13" s="37">
        <v>8758.24</v>
      </c>
      <c r="K13" s="35">
        <v>65</v>
      </c>
      <c r="L13" s="37">
        <v>134.74</v>
      </c>
      <c r="M13" s="37">
        <v>12320.17</v>
      </c>
      <c r="N13" s="38">
        <v>1.41</v>
      </c>
    </row>
    <row r="14" spans="1:14" x14ac:dyDescent="0.3">
      <c r="A14" s="33">
        <v>45438</v>
      </c>
      <c r="B14" s="34" t="s">
        <v>74</v>
      </c>
      <c r="C14" s="34" t="s">
        <v>67</v>
      </c>
      <c r="D14" s="34" t="s">
        <v>71</v>
      </c>
      <c r="E14" s="34" t="s">
        <v>73</v>
      </c>
      <c r="F14" s="35">
        <v>147483</v>
      </c>
      <c r="G14" s="35">
        <v>2138</v>
      </c>
      <c r="H14" s="36">
        <v>1.4500000000000001E-2</v>
      </c>
      <c r="I14" s="37">
        <v>0.56999999999999995</v>
      </c>
      <c r="J14" s="37">
        <v>1218.6600000000001</v>
      </c>
      <c r="K14" s="35">
        <v>159</v>
      </c>
      <c r="L14" s="37">
        <v>7.66</v>
      </c>
      <c r="M14" s="37">
        <v>42434.18</v>
      </c>
      <c r="N14" s="38">
        <v>34.82</v>
      </c>
    </row>
    <row r="15" spans="1:14" x14ac:dyDescent="0.3">
      <c r="A15" s="33">
        <v>45351</v>
      </c>
      <c r="B15" s="34" t="s">
        <v>60</v>
      </c>
      <c r="C15" s="34" t="s">
        <v>70</v>
      </c>
      <c r="D15" s="34" t="s">
        <v>71</v>
      </c>
      <c r="E15" s="34" t="s">
        <v>69</v>
      </c>
      <c r="F15" s="35">
        <v>116472</v>
      </c>
      <c r="G15" s="35">
        <v>4006</v>
      </c>
      <c r="H15" s="36">
        <v>3.44E-2</v>
      </c>
      <c r="I15" s="37">
        <v>2.68</v>
      </c>
      <c r="J15" s="37">
        <v>10736.08</v>
      </c>
      <c r="K15" s="35">
        <v>291</v>
      </c>
      <c r="L15" s="37">
        <v>36.89</v>
      </c>
      <c r="M15" s="37">
        <v>78428.38</v>
      </c>
      <c r="N15" s="38">
        <v>7.31</v>
      </c>
    </row>
    <row r="16" spans="1:14" x14ac:dyDescent="0.3">
      <c r="A16" s="33">
        <v>45404</v>
      </c>
      <c r="B16" s="34" t="s">
        <v>64</v>
      </c>
      <c r="C16" s="34" t="s">
        <v>70</v>
      </c>
      <c r="D16" s="34" t="s">
        <v>65</v>
      </c>
      <c r="E16" s="34" t="s">
        <v>73</v>
      </c>
      <c r="F16" s="35">
        <v>37711</v>
      </c>
      <c r="G16" s="35">
        <v>2111</v>
      </c>
      <c r="H16" s="36">
        <v>5.6000000000000001E-2</v>
      </c>
      <c r="I16" s="37">
        <v>0.68</v>
      </c>
      <c r="J16" s="37">
        <v>1435.48</v>
      </c>
      <c r="K16" s="35">
        <v>92</v>
      </c>
      <c r="L16" s="37">
        <v>15.6</v>
      </c>
      <c r="M16" s="37">
        <v>13898.86</v>
      </c>
      <c r="N16" s="38">
        <v>9.68</v>
      </c>
    </row>
    <row r="17" spans="1:14" x14ac:dyDescent="0.3">
      <c r="A17" s="33">
        <v>45580</v>
      </c>
      <c r="B17" s="34" t="s">
        <v>64</v>
      </c>
      <c r="C17" s="34" t="s">
        <v>70</v>
      </c>
      <c r="D17" s="34" t="s">
        <v>76</v>
      </c>
      <c r="E17" s="34" t="s">
        <v>72</v>
      </c>
      <c r="F17" s="35">
        <v>96412</v>
      </c>
      <c r="G17" s="35">
        <v>7047</v>
      </c>
      <c r="H17" s="36">
        <v>7.3099999999999998E-2</v>
      </c>
      <c r="I17" s="37">
        <v>1.1100000000000001</v>
      </c>
      <c r="J17" s="37">
        <v>7822.17</v>
      </c>
      <c r="K17" s="35">
        <v>194</v>
      </c>
      <c r="L17" s="37">
        <v>40.32</v>
      </c>
      <c r="M17" s="37">
        <v>36717.43</v>
      </c>
      <c r="N17" s="38">
        <v>4.6900000000000004</v>
      </c>
    </row>
    <row r="18" spans="1:14" x14ac:dyDescent="0.3">
      <c r="A18" s="33">
        <v>45517</v>
      </c>
      <c r="B18" s="34" t="s">
        <v>64</v>
      </c>
      <c r="C18" s="34" t="s">
        <v>67</v>
      </c>
      <c r="D18" s="34" t="s">
        <v>62</v>
      </c>
      <c r="E18" s="34" t="s">
        <v>73</v>
      </c>
      <c r="F18" s="35">
        <v>184476</v>
      </c>
      <c r="G18" s="35">
        <v>8854</v>
      </c>
      <c r="H18" s="36">
        <v>4.8000000000000001E-2</v>
      </c>
      <c r="I18" s="37">
        <v>0.35</v>
      </c>
      <c r="J18" s="37">
        <v>3098.9</v>
      </c>
      <c r="K18" s="35">
        <v>198</v>
      </c>
      <c r="L18" s="37">
        <v>15.65</v>
      </c>
      <c r="M18" s="37">
        <v>56216.92</v>
      </c>
      <c r="N18" s="38">
        <v>18.14</v>
      </c>
    </row>
    <row r="19" spans="1:14" x14ac:dyDescent="0.3">
      <c r="A19" s="33">
        <v>45524</v>
      </c>
      <c r="B19" s="34" t="s">
        <v>64</v>
      </c>
      <c r="C19" s="34" t="s">
        <v>61</v>
      </c>
      <c r="D19" s="34" t="s">
        <v>62</v>
      </c>
      <c r="E19" s="34" t="s">
        <v>72</v>
      </c>
      <c r="F19" s="35">
        <v>38828</v>
      </c>
      <c r="G19" s="35">
        <v>3607</v>
      </c>
      <c r="H19" s="36">
        <v>9.2899999999999996E-2</v>
      </c>
      <c r="I19" s="37">
        <v>0.97</v>
      </c>
      <c r="J19" s="37">
        <v>3498.79</v>
      </c>
      <c r="K19" s="35">
        <v>116</v>
      </c>
      <c r="L19" s="37">
        <v>30.16</v>
      </c>
      <c r="M19" s="37">
        <v>8788.51</v>
      </c>
      <c r="N19" s="38">
        <v>2.5099999999999998</v>
      </c>
    </row>
    <row r="20" spans="1:14" x14ac:dyDescent="0.3">
      <c r="A20" s="33">
        <v>45651</v>
      </c>
      <c r="B20" s="34" t="s">
        <v>74</v>
      </c>
      <c r="C20" s="34" t="s">
        <v>67</v>
      </c>
      <c r="D20" s="34" t="s">
        <v>71</v>
      </c>
      <c r="E20" s="34" t="s">
        <v>73</v>
      </c>
      <c r="F20" s="35">
        <v>187957</v>
      </c>
      <c r="G20" s="35">
        <v>4586</v>
      </c>
      <c r="H20" s="36">
        <v>2.4400000000000002E-2</v>
      </c>
      <c r="I20" s="37">
        <v>2.1</v>
      </c>
      <c r="J20" s="37">
        <v>9630.6</v>
      </c>
      <c r="K20" s="35">
        <v>271</v>
      </c>
      <c r="L20" s="37">
        <v>35.54</v>
      </c>
      <c r="M20" s="37">
        <v>34433.97</v>
      </c>
      <c r="N20" s="38">
        <v>3.58</v>
      </c>
    </row>
    <row r="21" spans="1:14" x14ac:dyDescent="0.3">
      <c r="A21" s="33">
        <v>45597</v>
      </c>
      <c r="B21" s="34" t="s">
        <v>60</v>
      </c>
      <c r="C21" s="34" t="s">
        <v>67</v>
      </c>
      <c r="D21" s="34" t="s">
        <v>71</v>
      </c>
      <c r="E21" s="34" t="s">
        <v>73</v>
      </c>
      <c r="F21" s="35">
        <v>34592</v>
      </c>
      <c r="G21" s="35">
        <v>1615</v>
      </c>
      <c r="H21" s="36">
        <v>4.6699999999999998E-2</v>
      </c>
      <c r="I21" s="37">
        <v>1.1499999999999999</v>
      </c>
      <c r="J21" s="37">
        <v>1857.25</v>
      </c>
      <c r="K21" s="35">
        <v>116</v>
      </c>
      <c r="L21" s="37">
        <v>16.010000000000002</v>
      </c>
      <c r="M21" s="37">
        <v>4344.96</v>
      </c>
      <c r="N21" s="38">
        <v>2.34</v>
      </c>
    </row>
    <row r="22" spans="1:14" x14ac:dyDescent="0.3">
      <c r="A22" s="33">
        <v>45477</v>
      </c>
      <c r="B22" s="34" t="s">
        <v>74</v>
      </c>
      <c r="C22" s="34" t="s">
        <v>70</v>
      </c>
      <c r="D22" s="34" t="s">
        <v>62</v>
      </c>
      <c r="E22" s="34" t="s">
        <v>69</v>
      </c>
      <c r="F22" s="35">
        <v>185798</v>
      </c>
      <c r="G22" s="35">
        <v>5889</v>
      </c>
      <c r="H22" s="36">
        <v>3.1699999999999999E-2</v>
      </c>
      <c r="I22" s="37">
        <v>0.9</v>
      </c>
      <c r="J22" s="37">
        <v>5300.1</v>
      </c>
      <c r="K22" s="35">
        <v>400</v>
      </c>
      <c r="L22" s="37">
        <v>13.25</v>
      </c>
      <c r="M22" s="37">
        <v>41326.629999999997</v>
      </c>
      <c r="N22" s="38">
        <v>7.8</v>
      </c>
    </row>
    <row r="23" spans="1:14" x14ac:dyDescent="0.3">
      <c r="A23" s="33">
        <v>45656</v>
      </c>
      <c r="B23" s="34" t="s">
        <v>64</v>
      </c>
      <c r="C23" s="34" t="s">
        <v>67</v>
      </c>
      <c r="D23" s="34" t="s">
        <v>65</v>
      </c>
      <c r="E23" s="34" t="s">
        <v>77</v>
      </c>
      <c r="F23" s="35">
        <v>194407</v>
      </c>
      <c r="G23" s="35">
        <v>13122</v>
      </c>
      <c r="H23" s="36">
        <v>6.7500000000000004E-2</v>
      </c>
      <c r="I23" s="37">
        <v>0.85</v>
      </c>
      <c r="J23" s="37">
        <v>11153.7</v>
      </c>
      <c r="K23" s="35">
        <v>379</v>
      </c>
      <c r="L23" s="37">
        <v>29.43</v>
      </c>
      <c r="M23" s="37">
        <v>56289.95</v>
      </c>
      <c r="N23" s="38">
        <v>5.05</v>
      </c>
    </row>
    <row r="24" spans="1:14" x14ac:dyDescent="0.3">
      <c r="A24" s="33">
        <v>45609</v>
      </c>
      <c r="B24" s="34" t="s">
        <v>60</v>
      </c>
      <c r="C24" s="34" t="s">
        <v>61</v>
      </c>
      <c r="D24" s="34" t="s">
        <v>71</v>
      </c>
      <c r="E24" s="34" t="s">
        <v>63</v>
      </c>
      <c r="F24" s="35">
        <v>188062</v>
      </c>
      <c r="G24" s="35">
        <v>8143</v>
      </c>
      <c r="H24" s="36">
        <v>4.3299999999999998E-2</v>
      </c>
      <c r="I24" s="37">
        <v>1.8</v>
      </c>
      <c r="J24" s="37">
        <v>14657.4</v>
      </c>
      <c r="K24" s="35">
        <v>614</v>
      </c>
      <c r="L24" s="37">
        <v>23.87</v>
      </c>
      <c r="M24" s="37">
        <v>124232.5</v>
      </c>
      <c r="N24" s="38">
        <v>8.48</v>
      </c>
    </row>
    <row r="25" spans="1:14" x14ac:dyDescent="0.3">
      <c r="A25" s="33">
        <v>45640</v>
      </c>
      <c r="B25" s="34" t="s">
        <v>74</v>
      </c>
      <c r="C25" s="34" t="s">
        <v>70</v>
      </c>
      <c r="D25" s="34" t="s">
        <v>68</v>
      </c>
      <c r="E25" s="34" t="s">
        <v>77</v>
      </c>
      <c r="F25" s="35">
        <v>195710</v>
      </c>
      <c r="G25" s="35">
        <v>4481</v>
      </c>
      <c r="H25" s="36">
        <v>2.29E-2</v>
      </c>
      <c r="I25" s="37">
        <v>0.53</v>
      </c>
      <c r="J25" s="37">
        <v>2374.9299999999998</v>
      </c>
      <c r="K25" s="35">
        <v>352</v>
      </c>
      <c r="L25" s="37">
        <v>6.75</v>
      </c>
      <c r="M25" s="37">
        <v>27223.39</v>
      </c>
      <c r="N25" s="38">
        <v>11.46</v>
      </c>
    </row>
    <row r="26" spans="1:14" x14ac:dyDescent="0.3">
      <c r="A26" s="33">
        <v>45391</v>
      </c>
      <c r="B26" s="34" t="s">
        <v>60</v>
      </c>
      <c r="C26" s="34" t="s">
        <v>75</v>
      </c>
      <c r="D26" s="34" t="s">
        <v>68</v>
      </c>
      <c r="E26" s="34" t="s">
        <v>78</v>
      </c>
      <c r="F26" s="35">
        <v>198824</v>
      </c>
      <c r="G26" s="35">
        <v>9046</v>
      </c>
      <c r="H26" s="36">
        <v>4.5499999999999999E-2</v>
      </c>
      <c r="I26" s="37">
        <v>3.61</v>
      </c>
      <c r="J26" s="37">
        <v>32656.06</v>
      </c>
      <c r="K26" s="35">
        <v>407</v>
      </c>
      <c r="L26" s="37">
        <v>80.239999999999995</v>
      </c>
      <c r="M26" s="37">
        <v>71482.19</v>
      </c>
      <c r="N26" s="38">
        <v>2.19</v>
      </c>
    </row>
    <row r="27" spans="1:14" x14ac:dyDescent="0.3">
      <c r="A27" s="33">
        <v>45451</v>
      </c>
      <c r="B27" s="34" t="s">
        <v>74</v>
      </c>
      <c r="C27" s="34" t="s">
        <v>70</v>
      </c>
      <c r="D27" s="34" t="s">
        <v>71</v>
      </c>
      <c r="E27" s="34" t="s">
        <v>69</v>
      </c>
      <c r="F27" s="35">
        <v>196962</v>
      </c>
      <c r="G27" s="35">
        <v>5081</v>
      </c>
      <c r="H27" s="36">
        <v>2.58E-2</v>
      </c>
      <c r="I27" s="37">
        <v>2.06</v>
      </c>
      <c r="J27" s="37">
        <v>10466.86</v>
      </c>
      <c r="K27" s="35">
        <v>282</v>
      </c>
      <c r="L27" s="37">
        <v>37.119999999999997</v>
      </c>
      <c r="M27" s="37">
        <v>24196.95</v>
      </c>
      <c r="N27" s="38">
        <v>2.31</v>
      </c>
    </row>
    <row r="28" spans="1:14" x14ac:dyDescent="0.3">
      <c r="A28" s="33">
        <v>45533</v>
      </c>
      <c r="B28" s="34" t="s">
        <v>60</v>
      </c>
      <c r="C28" s="34" t="s">
        <v>70</v>
      </c>
      <c r="D28" s="34" t="s">
        <v>71</v>
      </c>
      <c r="E28" s="34" t="s">
        <v>63</v>
      </c>
      <c r="F28" s="35">
        <v>105386</v>
      </c>
      <c r="G28" s="35">
        <v>3783</v>
      </c>
      <c r="H28" s="36">
        <v>3.5900000000000001E-2</v>
      </c>
      <c r="I28" s="37">
        <v>1.82</v>
      </c>
      <c r="J28" s="37">
        <v>6885.06</v>
      </c>
      <c r="K28" s="35">
        <v>130</v>
      </c>
      <c r="L28" s="37">
        <v>52.96</v>
      </c>
      <c r="M28" s="37">
        <v>36776.35</v>
      </c>
      <c r="N28" s="38">
        <v>5.34</v>
      </c>
    </row>
    <row r="29" spans="1:14" x14ac:dyDescent="0.3">
      <c r="A29" s="33">
        <v>45540</v>
      </c>
      <c r="B29" s="34" t="s">
        <v>60</v>
      </c>
      <c r="C29" s="34" t="s">
        <v>61</v>
      </c>
      <c r="D29" s="34" t="s">
        <v>68</v>
      </c>
      <c r="E29" s="34" t="s">
        <v>63</v>
      </c>
      <c r="F29" s="35">
        <v>49425</v>
      </c>
      <c r="G29" s="35">
        <v>1996</v>
      </c>
      <c r="H29" s="36">
        <v>4.0399999999999998E-2</v>
      </c>
      <c r="I29" s="37">
        <v>1.27</v>
      </c>
      <c r="J29" s="37">
        <v>2534.92</v>
      </c>
      <c r="K29" s="35">
        <v>98</v>
      </c>
      <c r="L29" s="37">
        <v>25.87</v>
      </c>
      <c r="M29" s="37">
        <v>9253.27</v>
      </c>
      <c r="N29" s="38">
        <v>3.65</v>
      </c>
    </row>
    <row r="30" spans="1:14" x14ac:dyDescent="0.3">
      <c r="A30" s="33">
        <v>45652</v>
      </c>
      <c r="B30" s="34" t="s">
        <v>74</v>
      </c>
      <c r="C30" s="34" t="s">
        <v>67</v>
      </c>
      <c r="D30" s="34" t="s">
        <v>76</v>
      </c>
      <c r="E30" s="34" t="s">
        <v>73</v>
      </c>
      <c r="F30" s="35">
        <v>191141</v>
      </c>
      <c r="G30" s="35">
        <v>4453</v>
      </c>
      <c r="H30" s="36">
        <v>2.3300000000000001E-2</v>
      </c>
      <c r="I30" s="37">
        <v>1.23</v>
      </c>
      <c r="J30" s="37">
        <v>5477.19</v>
      </c>
      <c r="K30" s="35">
        <v>72</v>
      </c>
      <c r="L30" s="37">
        <v>76.069999999999993</v>
      </c>
      <c r="M30" s="37">
        <v>8367.4599999999991</v>
      </c>
      <c r="N30" s="38">
        <v>1.53</v>
      </c>
    </row>
    <row r="31" spans="1:14" x14ac:dyDescent="0.3">
      <c r="A31" s="33">
        <v>45435</v>
      </c>
      <c r="B31" s="34" t="s">
        <v>64</v>
      </c>
      <c r="C31" s="34" t="s">
        <v>70</v>
      </c>
      <c r="D31" s="34" t="s">
        <v>65</v>
      </c>
      <c r="E31" s="34" t="s">
        <v>73</v>
      </c>
      <c r="F31" s="35">
        <v>91900</v>
      </c>
      <c r="G31" s="35">
        <v>4696</v>
      </c>
      <c r="H31" s="36">
        <v>5.11E-2</v>
      </c>
      <c r="I31" s="37">
        <v>0.53</v>
      </c>
      <c r="J31" s="37">
        <v>2488.88</v>
      </c>
      <c r="K31" s="35">
        <v>367</v>
      </c>
      <c r="L31" s="37">
        <v>6.78</v>
      </c>
      <c r="M31" s="37">
        <v>109696.83</v>
      </c>
      <c r="N31" s="38">
        <v>44.07</v>
      </c>
    </row>
    <row r="32" spans="1:14" x14ac:dyDescent="0.3">
      <c r="A32" s="33">
        <v>45622</v>
      </c>
      <c r="B32" s="34" t="s">
        <v>60</v>
      </c>
      <c r="C32" s="34" t="s">
        <v>67</v>
      </c>
      <c r="D32" s="34" t="s">
        <v>68</v>
      </c>
      <c r="E32" s="34" t="s">
        <v>73</v>
      </c>
      <c r="F32" s="35">
        <v>11801</v>
      </c>
      <c r="G32" s="35">
        <v>795</v>
      </c>
      <c r="H32" s="36">
        <v>6.7400000000000002E-2</v>
      </c>
      <c r="I32" s="37">
        <v>2.97</v>
      </c>
      <c r="J32" s="37">
        <v>2361.15</v>
      </c>
      <c r="K32" s="35">
        <v>57</v>
      </c>
      <c r="L32" s="37">
        <v>41.42</v>
      </c>
      <c r="M32" s="37">
        <v>3966.25</v>
      </c>
      <c r="N32" s="38">
        <v>1.68</v>
      </c>
    </row>
    <row r="33" spans="1:14" x14ac:dyDescent="0.3">
      <c r="A33" s="33">
        <v>45612</v>
      </c>
      <c r="B33" s="34" t="s">
        <v>74</v>
      </c>
      <c r="C33" s="34" t="s">
        <v>75</v>
      </c>
      <c r="D33" s="34" t="s">
        <v>62</v>
      </c>
      <c r="E33" s="34" t="s">
        <v>63</v>
      </c>
      <c r="F33" s="35">
        <v>193926</v>
      </c>
      <c r="G33" s="35">
        <v>5837</v>
      </c>
      <c r="H33" s="36">
        <v>3.0099999999999998E-2</v>
      </c>
      <c r="I33" s="37">
        <v>1</v>
      </c>
      <c r="J33" s="37">
        <v>5837</v>
      </c>
      <c r="K33" s="35">
        <v>193</v>
      </c>
      <c r="L33" s="37">
        <v>30.24</v>
      </c>
      <c r="M33" s="37">
        <v>28429.29</v>
      </c>
      <c r="N33" s="38">
        <v>4.87</v>
      </c>
    </row>
    <row r="34" spans="1:14" x14ac:dyDescent="0.3">
      <c r="A34" s="33">
        <v>45349</v>
      </c>
      <c r="B34" s="34" t="s">
        <v>60</v>
      </c>
      <c r="C34" s="34" t="s">
        <v>75</v>
      </c>
      <c r="D34" s="34" t="s">
        <v>65</v>
      </c>
      <c r="E34" s="34" t="s">
        <v>77</v>
      </c>
      <c r="F34" s="35">
        <v>35355</v>
      </c>
      <c r="G34" s="35">
        <v>961</v>
      </c>
      <c r="H34" s="36">
        <v>2.7199999999999998E-2</v>
      </c>
      <c r="I34" s="37">
        <v>2.2200000000000002</v>
      </c>
      <c r="J34" s="37">
        <v>2133.42</v>
      </c>
      <c r="K34" s="35">
        <v>68</v>
      </c>
      <c r="L34" s="37">
        <v>31.37</v>
      </c>
      <c r="M34" s="37">
        <v>6145.22</v>
      </c>
      <c r="N34" s="38">
        <v>2.88</v>
      </c>
    </row>
    <row r="35" spans="1:14" x14ac:dyDescent="0.3">
      <c r="A35" s="33">
        <v>45608</v>
      </c>
      <c r="B35" s="34" t="s">
        <v>64</v>
      </c>
      <c r="C35" s="34" t="s">
        <v>70</v>
      </c>
      <c r="D35" s="34" t="s">
        <v>68</v>
      </c>
      <c r="E35" s="34" t="s">
        <v>63</v>
      </c>
      <c r="F35" s="35">
        <v>133148</v>
      </c>
      <c r="G35" s="35">
        <v>9120</v>
      </c>
      <c r="H35" s="36">
        <v>6.8500000000000005E-2</v>
      </c>
      <c r="I35" s="37">
        <v>0.5</v>
      </c>
      <c r="J35" s="37">
        <v>4560</v>
      </c>
      <c r="K35" s="35">
        <v>279</v>
      </c>
      <c r="L35" s="37">
        <v>16.34</v>
      </c>
      <c r="M35" s="37">
        <v>83385.98</v>
      </c>
      <c r="N35" s="38">
        <v>18.29</v>
      </c>
    </row>
    <row r="36" spans="1:14" x14ac:dyDescent="0.3">
      <c r="A36" s="33">
        <v>45303</v>
      </c>
      <c r="B36" s="34" t="s">
        <v>74</v>
      </c>
      <c r="C36" s="34" t="s">
        <v>67</v>
      </c>
      <c r="D36" s="34" t="s">
        <v>76</v>
      </c>
      <c r="E36" s="34" t="s">
        <v>73</v>
      </c>
      <c r="F36" s="35">
        <v>104657</v>
      </c>
      <c r="G36" s="35">
        <v>4029</v>
      </c>
      <c r="H36" s="36">
        <v>3.85E-2</v>
      </c>
      <c r="I36" s="37">
        <v>0.71</v>
      </c>
      <c r="J36" s="37">
        <v>2860.59</v>
      </c>
      <c r="K36" s="35">
        <v>204</v>
      </c>
      <c r="L36" s="37">
        <v>14.02</v>
      </c>
      <c r="M36" s="37">
        <v>10401.620000000001</v>
      </c>
      <c r="N36" s="38">
        <v>3.64</v>
      </c>
    </row>
    <row r="37" spans="1:14" x14ac:dyDescent="0.3">
      <c r="A37" s="33">
        <v>45436</v>
      </c>
      <c r="B37" s="34" t="s">
        <v>64</v>
      </c>
      <c r="C37" s="34" t="s">
        <v>70</v>
      </c>
      <c r="D37" s="34" t="s">
        <v>62</v>
      </c>
      <c r="E37" s="34" t="s">
        <v>77</v>
      </c>
      <c r="F37" s="35">
        <v>174160</v>
      </c>
      <c r="G37" s="35">
        <v>9683</v>
      </c>
      <c r="H37" s="36">
        <v>5.5599999999999997E-2</v>
      </c>
      <c r="I37" s="37">
        <v>1.84</v>
      </c>
      <c r="J37" s="37">
        <v>17816.72</v>
      </c>
      <c r="K37" s="35">
        <v>512</v>
      </c>
      <c r="L37" s="37">
        <v>34.799999999999997</v>
      </c>
      <c r="M37" s="37">
        <v>73177.919999999998</v>
      </c>
      <c r="N37" s="38">
        <v>4.1100000000000003</v>
      </c>
    </row>
    <row r="38" spans="1:14" x14ac:dyDescent="0.3">
      <c r="A38" s="33">
        <v>45296</v>
      </c>
      <c r="B38" s="34" t="s">
        <v>64</v>
      </c>
      <c r="C38" s="34" t="s">
        <v>75</v>
      </c>
      <c r="D38" s="34" t="s">
        <v>62</v>
      </c>
      <c r="E38" s="34" t="s">
        <v>63</v>
      </c>
      <c r="F38" s="35">
        <v>6015</v>
      </c>
      <c r="G38" s="35">
        <v>410</v>
      </c>
      <c r="H38" s="36">
        <v>6.83E-2</v>
      </c>
      <c r="I38" s="37">
        <v>1.93</v>
      </c>
      <c r="J38" s="37">
        <v>791.3</v>
      </c>
      <c r="K38" s="35">
        <v>28</v>
      </c>
      <c r="L38" s="37">
        <v>28.26</v>
      </c>
      <c r="M38" s="37">
        <v>4383.32</v>
      </c>
      <c r="N38" s="38">
        <v>5.54</v>
      </c>
    </row>
    <row r="39" spans="1:14" x14ac:dyDescent="0.3">
      <c r="A39" s="33">
        <v>45297</v>
      </c>
      <c r="B39" s="34" t="s">
        <v>74</v>
      </c>
      <c r="C39" s="34" t="s">
        <v>61</v>
      </c>
      <c r="D39" s="34" t="s">
        <v>68</v>
      </c>
      <c r="E39" s="34" t="s">
        <v>78</v>
      </c>
      <c r="F39" s="35">
        <v>17763</v>
      </c>
      <c r="G39" s="35">
        <v>726</v>
      </c>
      <c r="H39" s="36">
        <v>4.0899999999999999E-2</v>
      </c>
      <c r="I39" s="37">
        <v>1.94</v>
      </c>
      <c r="J39" s="37">
        <v>1408.44</v>
      </c>
      <c r="K39" s="35">
        <v>30</v>
      </c>
      <c r="L39" s="37">
        <v>46.95</v>
      </c>
      <c r="M39" s="37">
        <v>1946.19</v>
      </c>
      <c r="N39" s="38">
        <v>1.38</v>
      </c>
    </row>
    <row r="40" spans="1:14" x14ac:dyDescent="0.3">
      <c r="A40" s="33">
        <v>45579</v>
      </c>
      <c r="B40" s="34" t="s">
        <v>64</v>
      </c>
      <c r="C40" s="34" t="s">
        <v>61</v>
      </c>
      <c r="D40" s="34" t="s">
        <v>65</v>
      </c>
      <c r="E40" s="34" t="s">
        <v>77</v>
      </c>
      <c r="F40" s="35">
        <v>97193</v>
      </c>
      <c r="G40" s="35">
        <v>6230</v>
      </c>
      <c r="H40" s="36">
        <v>6.4100000000000004E-2</v>
      </c>
      <c r="I40" s="37">
        <v>1.6</v>
      </c>
      <c r="J40" s="37">
        <v>9968</v>
      </c>
      <c r="K40" s="35">
        <v>306</v>
      </c>
      <c r="L40" s="37">
        <v>32.58</v>
      </c>
      <c r="M40" s="37">
        <v>81609.119999999995</v>
      </c>
      <c r="N40" s="38">
        <v>8.19</v>
      </c>
    </row>
    <row r="41" spans="1:14" x14ac:dyDescent="0.3">
      <c r="A41" s="33">
        <v>45357</v>
      </c>
      <c r="B41" s="34" t="s">
        <v>74</v>
      </c>
      <c r="C41" s="34" t="s">
        <v>70</v>
      </c>
      <c r="D41" s="34" t="s">
        <v>68</v>
      </c>
      <c r="E41" s="34" t="s">
        <v>63</v>
      </c>
      <c r="F41" s="35">
        <v>58682</v>
      </c>
      <c r="G41" s="35">
        <v>1748</v>
      </c>
      <c r="H41" s="36">
        <v>2.98E-2</v>
      </c>
      <c r="I41" s="37">
        <v>1.49</v>
      </c>
      <c r="J41" s="37">
        <v>2604.52</v>
      </c>
      <c r="K41" s="35">
        <v>84</v>
      </c>
      <c r="L41" s="37">
        <v>31.01</v>
      </c>
      <c r="M41" s="37">
        <v>12746.65</v>
      </c>
      <c r="N41" s="38">
        <v>4.8899999999999997</v>
      </c>
    </row>
    <row r="42" spans="1:14" x14ac:dyDescent="0.3">
      <c r="A42" s="33">
        <v>45372</v>
      </c>
      <c r="B42" s="34" t="s">
        <v>64</v>
      </c>
      <c r="C42" s="34" t="s">
        <v>75</v>
      </c>
      <c r="D42" s="34" t="s">
        <v>71</v>
      </c>
      <c r="E42" s="34" t="s">
        <v>73</v>
      </c>
      <c r="F42" s="35">
        <v>108196</v>
      </c>
      <c r="G42" s="35">
        <v>5334</v>
      </c>
      <c r="H42" s="36">
        <v>4.9299999999999997E-2</v>
      </c>
      <c r="I42" s="37">
        <v>0.99</v>
      </c>
      <c r="J42" s="37">
        <v>5280.66</v>
      </c>
      <c r="K42" s="35">
        <v>289</v>
      </c>
      <c r="L42" s="37">
        <v>18.27</v>
      </c>
      <c r="M42" s="37">
        <v>27408.560000000001</v>
      </c>
      <c r="N42" s="38">
        <v>5.19</v>
      </c>
    </row>
    <row r="43" spans="1:14" x14ac:dyDescent="0.3">
      <c r="A43" s="33">
        <v>45299</v>
      </c>
      <c r="B43" s="34" t="s">
        <v>60</v>
      </c>
      <c r="C43" s="34" t="s">
        <v>61</v>
      </c>
      <c r="D43" s="34" t="s">
        <v>62</v>
      </c>
      <c r="E43" s="34" t="s">
        <v>77</v>
      </c>
      <c r="F43" s="35">
        <v>63243</v>
      </c>
      <c r="G43" s="35">
        <v>1707</v>
      </c>
      <c r="H43" s="36">
        <v>2.7E-2</v>
      </c>
      <c r="I43" s="37">
        <v>2.2400000000000002</v>
      </c>
      <c r="J43" s="37">
        <v>3823.68</v>
      </c>
      <c r="K43" s="35">
        <v>37</v>
      </c>
      <c r="L43" s="37">
        <v>103.34</v>
      </c>
      <c r="M43" s="37">
        <v>3893.12</v>
      </c>
      <c r="N43" s="38">
        <v>1.02</v>
      </c>
    </row>
    <row r="44" spans="1:14" x14ac:dyDescent="0.3">
      <c r="A44" s="33">
        <v>45524</v>
      </c>
      <c r="B44" s="34" t="s">
        <v>60</v>
      </c>
      <c r="C44" s="34" t="s">
        <v>61</v>
      </c>
      <c r="D44" s="34" t="s">
        <v>76</v>
      </c>
      <c r="E44" s="34" t="s">
        <v>63</v>
      </c>
      <c r="F44" s="35">
        <v>152979</v>
      </c>
      <c r="G44" s="35">
        <v>4650</v>
      </c>
      <c r="H44" s="36">
        <v>3.04E-2</v>
      </c>
      <c r="I44" s="37">
        <v>0.79</v>
      </c>
      <c r="J44" s="37">
        <v>3673.5</v>
      </c>
      <c r="K44" s="35">
        <v>330</v>
      </c>
      <c r="L44" s="37">
        <v>11.13</v>
      </c>
      <c r="M44" s="37">
        <v>91949.73</v>
      </c>
      <c r="N44" s="38">
        <v>25.03</v>
      </c>
    </row>
    <row r="45" spans="1:14" x14ac:dyDescent="0.3">
      <c r="A45" s="33">
        <v>45299</v>
      </c>
      <c r="B45" s="34" t="s">
        <v>60</v>
      </c>
      <c r="C45" s="34" t="s">
        <v>75</v>
      </c>
      <c r="D45" s="34" t="s">
        <v>65</v>
      </c>
      <c r="E45" s="34" t="s">
        <v>69</v>
      </c>
      <c r="F45" s="35">
        <v>132600</v>
      </c>
      <c r="G45" s="35">
        <v>6802</v>
      </c>
      <c r="H45" s="36">
        <v>5.1299999999999998E-2</v>
      </c>
      <c r="I45" s="37">
        <v>1.53</v>
      </c>
      <c r="J45" s="37">
        <v>10407.06</v>
      </c>
      <c r="K45" s="35">
        <v>97</v>
      </c>
      <c r="L45" s="37">
        <v>107.29</v>
      </c>
      <c r="M45" s="37">
        <v>6779.29</v>
      </c>
      <c r="N45" s="38">
        <v>0.65</v>
      </c>
    </row>
    <row r="46" spans="1:14" x14ac:dyDescent="0.3">
      <c r="A46" s="33">
        <v>45565</v>
      </c>
      <c r="B46" s="34" t="s">
        <v>60</v>
      </c>
      <c r="C46" s="34" t="s">
        <v>67</v>
      </c>
      <c r="D46" s="34" t="s">
        <v>62</v>
      </c>
      <c r="E46" s="34" t="s">
        <v>78</v>
      </c>
      <c r="F46" s="35">
        <v>110977</v>
      </c>
      <c r="G46" s="35">
        <v>4150</v>
      </c>
      <c r="H46" s="36">
        <v>3.7400000000000003E-2</v>
      </c>
      <c r="I46" s="37">
        <v>1.1299999999999999</v>
      </c>
      <c r="J46" s="37">
        <v>4689.5</v>
      </c>
      <c r="K46" s="35">
        <v>197</v>
      </c>
      <c r="L46" s="37">
        <v>23.8</v>
      </c>
      <c r="M46" s="37">
        <v>18314.78</v>
      </c>
      <c r="N46" s="38">
        <v>3.91</v>
      </c>
    </row>
    <row r="47" spans="1:14" x14ac:dyDescent="0.3">
      <c r="A47" s="33">
        <v>45358</v>
      </c>
      <c r="B47" s="34" t="s">
        <v>60</v>
      </c>
      <c r="C47" s="34" t="s">
        <v>61</v>
      </c>
      <c r="D47" s="34" t="s">
        <v>65</v>
      </c>
      <c r="E47" s="34" t="s">
        <v>66</v>
      </c>
      <c r="F47" s="35">
        <v>87152</v>
      </c>
      <c r="G47" s="35">
        <v>3599</v>
      </c>
      <c r="H47" s="36">
        <v>4.1300000000000003E-2</v>
      </c>
      <c r="I47" s="37">
        <v>2.63</v>
      </c>
      <c r="J47" s="37">
        <v>9465.3700000000008</v>
      </c>
      <c r="K47" s="35">
        <v>127</v>
      </c>
      <c r="L47" s="37">
        <v>74.53</v>
      </c>
      <c r="M47" s="37">
        <v>25958.5</v>
      </c>
      <c r="N47" s="38">
        <v>2.74</v>
      </c>
    </row>
    <row r="48" spans="1:14" x14ac:dyDescent="0.3">
      <c r="A48" s="33">
        <v>45520</v>
      </c>
      <c r="B48" s="34" t="s">
        <v>74</v>
      </c>
      <c r="C48" s="34" t="s">
        <v>70</v>
      </c>
      <c r="D48" s="34" t="s">
        <v>62</v>
      </c>
      <c r="E48" s="34" t="s">
        <v>63</v>
      </c>
      <c r="F48" s="35">
        <v>164096</v>
      </c>
      <c r="G48" s="35">
        <v>1919</v>
      </c>
      <c r="H48" s="36">
        <v>1.17E-2</v>
      </c>
      <c r="I48" s="37">
        <v>0.66</v>
      </c>
      <c r="J48" s="37">
        <v>1266.54</v>
      </c>
      <c r="K48" s="35">
        <v>139</v>
      </c>
      <c r="L48" s="37">
        <v>9.11</v>
      </c>
      <c r="M48" s="37">
        <v>7181.17</v>
      </c>
      <c r="N48" s="38">
        <v>5.67</v>
      </c>
    </row>
    <row r="49" spans="1:14" x14ac:dyDescent="0.3">
      <c r="A49" s="33">
        <v>45514</v>
      </c>
      <c r="B49" s="34" t="s">
        <v>74</v>
      </c>
      <c r="C49" s="34" t="s">
        <v>70</v>
      </c>
      <c r="D49" s="34" t="s">
        <v>68</v>
      </c>
      <c r="E49" s="34" t="s">
        <v>72</v>
      </c>
      <c r="F49" s="35">
        <v>21389</v>
      </c>
      <c r="G49" s="35">
        <v>941</v>
      </c>
      <c r="H49" s="36">
        <v>4.3999999999999997E-2</v>
      </c>
      <c r="I49" s="37">
        <v>0.8</v>
      </c>
      <c r="J49" s="37">
        <v>752.8</v>
      </c>
      <c r="K49" s="35">
        <v>46</v>
      </c>
      <c r="L49" s="37">
        <v>16.37</v>
      </c>
      <c r="M49" s="37">
        <v>8479.43</v>
      </c>
      <c r="N49" s="38">
        <v>11.26</v>
      </c>
    </row>
    <row r="50" spans="1:14" x14ac:dyDescent="0.3">
      <c r="A50" s="33">
        <v>45409</v>
      </c>
      <c r="B50" s="34" t="s">
        <v>60</v>
      </c>
      <c r="C50" s="34" t="s">
        <v>70</v>
      </c>
      <c r="D50" s="34" t="s">
        <v>68</v>
      </c>
      <c r="E50" s="34" t="s">
        <v>77</v>
      </c>
      <c r="F50" s="35">
        <v>69323</v>
      </c>
      <c r="G50" s="35">
        <v>2169</v>
      </c>
      <c r="H50" s="36">
        <v>3.1300000000000001E-2</v>
      </c>
      <c r="I50" s="37">
        <v>2.19</v>
      </c>
      <c r="J50" s="37">
        <v>4750.1099999999997</v>
      </c>
      <c r="K50" s="35">
        <v>94</v>
      </c>
      <c r="L50" s="37">
        <v>50.53</v>
      </c>
      <c r="M50" s="37">
        <v>16337.12</v>
      </c>
      <c r="N50" s="38">
        <v>3.44</v>
      </c>
    </row>
    <row r="51" spans="1:14" x14ac:dyDescent="0.3">
      <c r="A51" s="33">
        <v>45429</v>
      </c>
      <c r="B51" s="34" t="s">
        <v>60</v>
      </c>
      <c r="C51" s="34" t="s">
        <v>75</v>
      </c>
      <c r="D51" s="34" t="s">
        <v>71</v>
      </c>
      <c r="E51" s="34" t="s">
        <v>63</v>
      </c>
      <c r="F51" s="35">
        <v>138291</v>
      </c>
      <c r="G51" s="35">
        <v>3318</v>
      </c>
      <c r="H51" s="36">
        <v>2.4E-2</v>
      </c>
      <c r="I51" s="37">
        <v>0.83</v>
      </c>
      <c r="J51" s="37">
        <v>2753.94</v>
      </c>
      <c r="K51" s="35">
        <v>217</v>
      </c>
      <c r="L51" s="37">
        <v>12.69</v>
      </c>
      <c r="M51" s="37">
        <v>12761.51</v>
      </c>
      <c r="N51" s="38">
        <v>4.63</v>
      </c>
    </row>
    <row r="52" spans="1:14" x14ac:dyDescent="0.3">
      <c r="A52" s="33">
        <v>45625</v>
      </c>
      <c r="B52" s="34" t="s">
        <v>64</v>
      </c>
      <c r="C52" s="34" t="s">
        <v>70</v>
      </c>
      <c r="D52" s="34" t="s">
        <v>65</v>
      </c>
      <c r="E52" s="34" t="s">
        <v>66</v>
      </c>
      <c r="F52" s="35">
        <v>72444</v>
      </c>
      <c r="G52" s="35">
        <v>2339</v>
      </c>
      <c r="H52" s="36">
        <v>3.2300000000000002E-2</v>
      </c>
      <c r="I52" s="37">
        <v>1.39</v>
      </c>
      <c r="J52" s="37">
        <v>3251.21</v>
      </c>
      <c r="K52" s="35">
        <v>153</v>
      </c>
      <c r="L52" s="37">
        <v>21.25</v>
      </c>
      <c r="M52" s="37">
        <v>12919.22</v>
      </c>
      <c r="N52" s="38">
        <v>3.97</v>
      </c>
    </row>
    <row r="53" spans="1:14" x14ac:dyDescent="0.3">
      <c r="A53" s="33">
        <v>45630</v>
      </c>
      <c r="B53" s="34" t="s">
        <v>60</v>
      </c>
      <c r="C53" s="34" t="s">
        <v>61</v>
      </c>
      <c r="D53" s="34" t="s">
        <v>68</v>
      </c>
      <c r="E53" s="34" t="s">
        <v>63</v>
      </c>
      <c r="F53" s="35">
        <v>160002</v>
      </c>
      <c r="G53" s="35">
        <v>7520</v>
      </c>
      <c r="H53" s="36">
        <v>4.7E-2</v>
      </c>
      <c r="I53" s="37">
        <v>2.96</v>
      </c>
      <c r="J53" s="37">
        <v>22259.200000000001</v>
      </c>
      <c r="K53" s="35">
        <v>403</v>
      </c>
      <c r="L53" s="37">
        <v>55.23</v>
      </c>
      <c r="M53" s="37">
        <v>70823.58</v>
      </c>
      <c r="N53" s="38">
        <v>3.18</v>
      </c>
    </row>
    <row r="54" spans="1:14" x14ac:dyDescent="0.3">
      <c r="A54" s="33">
        <v>45516</v>
      </c>
      <c r="B54" s="34" t="s">
        <v>74</v>
      </c>
      <c r="C54" s="34" t="s">
        <v>61</v>
      </c>
      <c r="D54" s="34" t="s">
        <v>76</v>
      </c>
      <c r="E54" s="34" t="s">
        <v>69</v>
      </c>
      <c r="F54" s="35">
        <v>16246</v>
      </c>
      <c r="G54" s="35">
        <v>448</v>
      </c>
      <c r="H54" s="36">
        <v>2.76E-2</v>
      </c>
      <c r="I54" s="37">
        <v>1.99</v>
      </c>
      <c r="J54" s="37">
        <v>891.52</v>
      </c>
      <c r="K54" s="35">
        <v>8</v>
      </c>
      <c r="L54" s="37">
        <v>111.44</v>
      </c>
      <c r="M54" s="37">
        <v>1955.09</v>
      </c>
      <c r="N54" s="38">
        <v>2.19</v>
      </c>
    </row>
    <row r="55" spans="1:14" x14ac:dyDescent="0.3">
      <c r="A55" s="33">
        <v>45448</v>
      </c>
      <c r="B55" s="34" t="s">
        <v>74</v>
      </c>
      <c r="C55" s="34" t="s">
        <v>70</v>
      </c>
      <c r="D55" s="34" t="s">
        <v>62</v>
      </c>
      <c r="E55" s="34" t="s">
        <v>72</v>
      </c>
      <c r="F55" s="35">
        <v>15789</v>
      </c>
      <c r="G55" s="35">
        <v>423</v>
      </c>
      <c r="H55" s="36">
        <v>2.6800000000000001E-2</v>
      </c>
      <c r="I55" s="37">
        <v>1.81</v>
      </c>
      <c r="J55" s="37">
        <v>765.63</v>
      </c>
      <c r="K55" s="35">
        <v>7</v>
      </c>
      <c r="L55" s="37">
        <v>109.38</v>
      </c>
      <c r="M55" s="37">
        <v>1223.95</v>
      </c>
      <c r="N55" s="38">
        <v>1.6</v>
      </c>
    </row>
    <row r="56" spans="1:14" x14ac:dyDescent="0.3">
      <c r="A56" s="33">
        <v>45448</v>
      </c>
      <c r="B56" s="34" t="s">
        <v>60</v>
      </c>
      <c r="C56" s="34" t="s">
        <v>61</v>
      </c>
      <c r="D56" s="34" t="s">
        <v>65</v>
      </c>
      <c r="E56" s="34" t="s">
        <v>78</v>
      </c>
      <c r="F56" s="35">
        <v>25103</v>
      </c>
      <c r="G56" s="35">
        <v>710</v>
      </c>
      <c r="H56" s="36">
        <v>2.8299999999999999E-2</v>
      </c>
      <c r="I56" s="37">
        <v>2.34</v>
      </c>
      <c r="J56" s="37">
        <v>1661.4</v>
      </c>
      <c r="K56" s="35">
        <v>24</v>
      </c>
      <c r="L56" s="37">
        <v>69.23</v>
      </c>
      <c r="M56" s="37">
        <v>1896.75</v>
      </c>
      <c r="N56" s="38">
        <v>1.1399999999999999</v>
      </c>
    </row>
    <row r="57" spans="1:14" x14ac:dyDescent="0.3">
      <c r="A57" s="33">
        <v>45654</v>
      </c>
      <c r="B57" s="34" t="s">
        <v>64</v>
      </c>
      <c r="C57" s="34" t="s">
        <v>75</v>
      </c>
      <c r="D57" s="34" t="s">
        <v>71</v>
      </c>
      <c r="E57" s="34" t="s">
        <v>77</v>
      </c>
      <c r="F57" s="35">
        <v>138515</v>
      </c>
      <c r="G57" s="35">
        <v>4377</v>
      </c>
      <c r="H57" s="36">
        <v>3.1600000000000003E-2</v>
      </c>
      <c r="I57" s="37">
        <v>0.51</v>
      </c>
      <c r="J57" s="37">
        <v>2232.27</v>
      </c>
      <c r="K57" s="35">
        <v>285</v>
      </c>
      <c r="L57" s="37">
        <v>7.83</v>
      </c>
      <c r="M57" s="37">
        <v>10321.59</v>
      </c>
      <c r="N57" s="38">
        <v>4.62</v>
      </c>
    </row>
    <row r="58" spans="1:14" x14ac:dyDescent="0.3">
      <c r="A58" s="33">
        <v>45342</v>
      </c>
      <c r="B58" s="34" t="s">
        <v>74</v>
      </c>
      <c r="C58" s="34" t="s">
        <v>61</v>
      </c>
      <c r="D58" s="34" t="s">
        <v>65</v>
      </c>
      <c r="E58" s="34" t="s">
        <v>78</v>
      </c>
      <c r="F58" s="35">
        <v>180399</v>
      </c>
      <c r="G58" s="35">
        <v>6025</v>
      </c>
      <c r="H58" s="36">
        <v>3.3399999999999999E-2</v>
      </c>
      <c r="I58" s="37">
        <v>0.7</v>
      </c>
      <c r="J58" s="37">
        <v>4217.5</v>
      </c>
      <c r="K58" s="35">
        <v>191</v>
      </c>
      <c r="L58" s="37">
        <v>22.08</v>
      </c>
      <c r="M58" s="37">
        <v>17456.79</v>
      </c>
      <c r="N58" s="38">
        <v>4.1399999999999997</v>
      </c>
    </row>
    <row r="59" spans="1:14" x14ac:dyDescent="0.3">
      <c r="A59" s="33">
        <v>45428</v>
      </c>
      <c r="B59" s="34" t="s">
        <v>74</v>
      </c>
      <c r="C59" s="34" t="s">
        <v>67</v>
      </c>
      <c r="D59" s="34" t="s">
        <v>76</v>
      </c>
      <c r="E59" s="34" t="s">
        <v>63</v>
      </c>
      <c r="F59" s="35">
        <v>62545</v>
      </c>
      <c r="G59" s="35">
        <v>606</v>
      </c>
      <c r="H59" s="36">
        <v>9.7000000000000003E-3</v>
      </c>
      <c r="I59" s="37">
        <v>1.96</v>
      </c>
      <c r="J59" s="37">
        <v>1187.76</v>
      </c>
      <c r="K59" s="35">
        <v>37</v>
      </c>
      <c r="L59" s="37">
        <v>32.1</v>
      </c>
      <c r="M59" s="37">
        <v>5627.66</v>
      </c>
      <c r="N59" s="38">
        <v>4.74</v>
      </c>
    </row>
    <row r="60" spans="1:14" x14ac:dyDescent="0.3">
      <c r="A60" s="33">
        <v>45473</v>
      </c>
      <c r="B60" s="34" t="s">
        <v>60</v>
      </c>
      <c r="C60" s="34" t="s">
        <v>70</v>
      </c>
      <c r="D60" s="34" t="s">
        <v>62</v>
      </c>
      <c r="E60" s="34" t="s">
        <v>73</v>
      </c>
      <c r="F60" s="35">
        <v>72526</v>
      </c>
      <c r="G60" s="35">
        <v>2146</v>
      </c>
      <c r="H60" s="36">
        <v>2.9600000000000001E-2</v>
      </c>
      <c r="I60" s="37">
        <v>1.56</v>
      </c>
      <c r="J60" s="37">
        <v>3347.76</v>
      </c>
      <c r="K60" s="35">
        <v>168</v>
      </c>
      <c r="L60" s="37">
        <v>19.93</v>
      </c>
      <c r="M60" s="37">
        <v>25859.74</v>
      </c>
      <c r="N60" s="38">
        <v>7.72</v>
      </c>
    </row>
    <row r="61" spans="1:14" x14ac:dyDescent="0.3">
      <c r="A61" s="33">
        <v>45480</v>
      </c>
      <c r="B61" s="34" t="s">
        <v>74</v>
      </c>
      <c r="C61" s="34" t="s">
        <v>75</v>
      </c>
      <c r="D61" s="34" t="s">
        <v>65</v>
      </c>
      <c r="E61" s="34" t="s">
        <v>78</v>
      </c>
      <c r="F61" s="35">
        <v>67823</v>
      </c>
      <c r="G61" s="35">
        <v>2075</v>
      </c>
      <c r="H61" s="36">
        <v>3.0599999999999999E-2</v>
      </c>
      <c r="I61" s="37">
        <v>1.83</v>
      </c>
      <c r="J61" s="37">
        <v>3797.25</v>
      </c>
      <c r="K61" s="35">
        <v>26</v>
      </c>
      <c r="L61" s="37">
        <v>146.05000000000001</v>
      </c>
      <c r="M61" s="37">
        <v>4093.91</v>
      </c>
      <c r="N61" s="38">
        <v>1.08</v>
      </c>
    </row>
    <row r="62" spans="1:14" x14ac:dyDescent="0.3">
      <c r="A62" s="33">
        <v>45466</v>
      </c>
      <c r="B62" s="34" t="s">
        <v>74</v>
      </c>
      <c r="C62" s="34" t="s">
        <v>75</v>
      </c>
      <c r="D62" s="34" t="s">
        <v>76</v>
      </c>
      <c r="E62" s="34" t="s">
        <v>77</v>
      </c>
      <c r="F62" s="35">
        <v>164937</v>
      </c>
      <c r="G62" s="35">
        <v>4453</v>
      </c>
      <c r="H62" s="36">
        <v>2.7E-2</v>
      </c>
      <c r="I62" s="37">
        <v>1.08</v>
      </c>
      <c r="J62" s="37">
        <v>4809.24</v>
      </c>
      <c r="K62" s="35">
        <v>129</v>
      </c>
      <c r="L62" s="37">
        <v>37.28</v>
      </c>
      <c r="M62" s="37">
        <v>35127.5</v>
      </c>
      <c r="N62" s="38">
        <v>7.3</v>
      </c>
    </row>
    <row r="63" spans="1:14" x14ac:dyDescent="0.3">
      <c r="A63" s="33">
        <v>45640</v>
      </c>
      <c r="B63" s="34" t="s">
        <v>74</v>
      </c>
      <c r="C63" s="34" t="s">
        <v>61</v>
      </c>
      <c r="D63" s="34" t="s">
        <v>65</v>
      </c>
      <c r="E63" s="34" t="s">
        <v>66</v>
      </c>
      <c r="F63" s="35">
        <v>114575</v>
      </c>
      <c r="G63" s="35">
        <v>2039</v>
      </c>
      <c r="H63" s="36">
        <v>1.78E-2</v>
      </c>
      <c r="I63" s="37">
        <v>0.53</v>
      </c>
      <c r="J63" s="37">
        <v>1080.67</v>
      </c>
      <c r="K63" s="35">
        <v>113</v>
      </c>
      <c r="L63" s="37">
        <v>9.56</v>
      </c>
      <c r="M63" s="37">
        <v>10656.96</v>
      </c>
      <c r="N63" s="38">
        <v>9.86</v>
      </c>
    </row>
    <row r="64" spans="1:14" x14ac:dyDescent="0.3">
      <c r="A64" s="33">
        <v>45456</v>
      </c>
      <c r="B64" s="34" t="s">
        <v>60</v>
      </c>
      <c r="C64" s="34" t="s">
        <v>70</v>
      </c>
      <c r="D64" s="34" t="s">
        <v>62</v>
      </c>
      <c r="E64" s="34" t="s">
        <v>72</v>
      </c>
      <c r="F64" s="35">
        <v>132157</v>
      </c>
      <c r="G64" s="35">
        <v>2999</v>
      </c>
      <c r="H64" s="36">
        <v>2.2700000000000001E-2</v>
      </c>
      <c r="I64" s="37">
        <v>0.93</v>
      </c>
      <c r="J64" s="37">
        <v>2789.07</v>
      </c>
      <c r="K64" s="35">
        <v>152</v>
      </c>
      <c r="L64" s="37">
        <v>18.350000000000001</v>
      </c>
      <c r="M64" s="37">
        <v>21855.26</v>
      </c>
      <c r="N64" s="38">
        <v>7.84</v>
      </c>
    </row>
    <row r="65" spans="1:14" x14ac:dyDescent="0.3">
      <c r="A65" s="33">
        <v>45302</v>
      </c>
      <c r="B65" s="34" t="s">
        <v>64</v>
      </c>
      <c r="C65" s="34" t="s">
        <v>67</v>
      </c>
      <c r="D65" s="34" t="s">
        <v>68</v>
      </c>
      <c r="E65" s="34" t="s">
        <v>72</v>
      </c>
      <c r="F65" s="35">
        <v>108145</v>
      </c>
      <c r="G65" s="35">
        <v>3882</v>
      </c>
      <c r="H65" s="36">
        <v>3.5900000000000001E-2</v>
      </c>
      <c r="I65" s="37">
        <v>0.94</v>
      </c>
      <c r="J65" s="37">
        <v>3649.08</v>
      </c>
      <c r="K65" s="35">
        <v>98</v>
      </c>
      <c r="L65" s="37">
        <v>37.24</v>
      </c>
      <c r="M65" s="37">
        <v>28726.52</v>
      </c>
      <c r="N65" s="38">
        <v>7.87</v>
      </c>
    </row>
    <row r="66" spans="1:14" x14ac:dyDescent="0.3">
      <c r="A66" s="33">
        <v>45411</v>
      </c>
      <c r="B66" s="34" t="s">
        <v>64</v>
      </c>
      <c r="C66" s="34" t="s">
        <v>61</v>
      </c>
      <c r="D66" s="34" t="s">
        <v>71</v>
      </c>
      <c r="E66" s="34" t="s">
        <v>77</v>
      </c>
      <c r="F66" s="35">
        <v>72642</v>
      </c>
      <c r="G66" s="35">
        <v>3014</v>
      </c>
      <c r="H66" s="36">
        <v>4.1500000000000002E-2</v>
      </c>
      <c r="I66" s="37">
        <v>1.1599999999999999</v>
      </c>
      <c r="J66" s="37">
        <v>3496.24</v>
      </c>
      <c r="K66" s="35">
        <v>59</v>
      </c>
      <c r="L66" s="37">
        <v>59.26</v>
      </c>
      <c r="M66" s="37">
        <v>15070.44</v>
      </c>
      <c r="N66" s="38">
        <v>4.3099999999999996</v>
      </c>
    </row>
    <row r="67" spans="1:14" x14ac:dyDescent="0.3">
      <c r="A67" s="33">
        <v>45389</v>
      </c>
      <c r="B67" s="34" t="s">
        <v>64</v>
      </c>
      <c r="C67" s="34" t="s">
        <v>75</v>
      </c>
      <c r="D67" s="34" t="s">
        <v>68</v>
      </c>
      <c r="E67" s="34" t="s">
        <v>63</v>
      </c>
      <c r="F67" s="35">
        <v>131678</v>
      </c>
      <c r="G67" s="35">
        <v>8374</v>
      </c>
      <c r="H67" s="36">
        <v>6.3600000000000004E-2</v>
      </c>
      <c r="I67" s="37">
        <v>0.91</v>
      </c>
      <c r="J67" s="37">
        <v>7620.34</v>
      </c>
      <c r="K67" s="35">
        <v>505</v>
      </c>
      <c r="L67" s="37">
        <v>15.09</v>
      </c>
      <c r="M67" s="37">
        <v>29682.01</v>
      </c>
      <c r="N67" s="38">
        <v>3.9</v>
      </c>
    </row>
    <row r="68" spans="1:14" x14ac:dyDescent="0.3">
      <c r="A68" s="33">
        <v>45425</v>
      </c>
      <c r="B68" s="34" t="s">
        <v>60</v>
      </c>
      <c r="C68" s="34" t="s">
        <v>67</v>
      </c>
      <c r="D68" s="34" t="s">
        <v>76</v>
      </c>
      <c r="E68" s="34" t="s">
        <v>78</v>
      </c>
      <c r="F68" s="35">
        <v>34402</v>
      </c>
      <c r="G68" s="35">
        <v>1314</v>
      </c>
      <c r="H68" s="36">
        <v>3.8199999999999998E-2</v>
      </c>
      <c r="I68" s="37">
        <v>3.29</v>
      </c>
      <c r="J68" s="37">
        <v>4323.0600000000004</v>
      </c>
      <c r="K68" s="35">
        <v>17</v>
      </c>
      <c r="L68" s="37">
        <v>254.3</v>
      </c>
      <c r="M68" s="37">
        <v>1273.24</v>
      </c>
      <c r="N68" s="38">
        <v>0.28999999999999998</v>
      </c>
    </row>
    <row r="69" spans="1:14" x14ac:dyDescent="0.3">
      <c r="A69" s="33">
        <v>45573</v>
      </c>
      <c r="B69" s="34" t="s">
        <v>74</v>
      </c>
      <c r="C69" s="34" t="s">
        <v>67</v>
      </c>
      <c r="D69" s="34" t="s">
        <v>68</v>
      </c>
      <c r="E69" s="34" t="s">
        <v>72</v>
      </c>
      <c r="F69" s="35">
        <v>58276</v>
      </c>
      <c r="G69" s="35">
        <v>1183</v>
      </c>
      <c r="H69" s="36">
        <v>2.0299999999999999E-2</v>
      </c>
      <c r="I69" s="37">
        <v>1.49</v>
      </c>
      <c r="J69" s="37">
        <v>1762.67</v>
      </c>
      <c r="K69" s="35">
        <v>89</v>
      </c>
      <c r="L69" s="37">
        <v>19.809999999999999</v>
      </c>
      <c r="M69" s="37">
        <v>20273.71</v>
      </c>
      <c r="N69" s="38">
        <v>11.5</v>
      </c>
    </row>
    <row r="70" spans="1:14" x14ac:dyDescent="0.3">
      <c r="A70" s="33">
        <v>45518</v>
      </c>
      <c r="B70" s="34" t="s">
        <v>60</v>
      </c>
      <c r="C70" s="34" t="s">
        <v>70</v>
      </c>
      <c r="D70" s="34" t="s">
        <v>65</v>
      </c>
      <c r="E70" s="34" t="s">
        <v>73</v>
      </c>
      <c r="F70" s="35">
        <v>168059</v>
      </c>
      <c r="G70" s="35">
        <v>3462</v>
      </c>
      <c r="H70" s="36">
        <v>2.06E-2</v>
      </c>
      <c r="I70" s="37">
        <v>3.08</v>
      </c>
      <c r="J70" s="37">
        <v>10662.96</v>
      </c>
      <c r="K70" s="35">
        <v>154</v>
      </c>
      <c r="L70" s="37">
        <v>69.239999999999995</v>
      </c>
      <c r="M70" s="37">
        <v>33243.769999999997</v>
      </c>
      <c r="N70" s="38">
        <v>3.12</v>
      </c>
    </row>
    <row r="71" spans="1:14" x14ac:dyDescent="0.3">
      <c r="A71" s="33">
        <v>45520</v>
      </c>
      <c r="B71" s="34" t="s">
        <v>74</v>
      </c>
      <c r="C71" s="34" t="s">
        <v>67</v>
      </c>
      <c r="D71" s="34" t="s">
        <v>62</v>
      </c>
      <c r="E71" s="34" t="s">
        <v>73</v>
      </c>
      <c r="F71" s="35">
        <v>91123</v>
      </c>
      <c r="G71" s="35">
        <v>1567</v>
      </c>
      <c r="H71" s="36">
        <v>1.72E-2</v>
      </c>
      <c r="I71" s="37">
        <v>2.33</v>
      </c>
      <c r="J71" s="37">
        <v>3651.11</v>
      </c>
      <c r="K71" s="35">
        <v>64</v>
      </c>
      <c r="L71" s="37">
        <v>57.05</v>
      </c>
      <c r="M71" s="37">
        <v>5119.1000000000004</v>
      </c>
      <c r="N71" s="38">
        <v>1.4</v>
      </c>
    </row>
    <row r="72" spans="1:14" x14ac:dyDescent="0.3">
      <c r="A72" s="33">
        <v>45440</v>
      </c>
      <c r="B72" s="34" t="s">
        <v>74</v>
      </c>
      <c r="C72" s="34" t="s">
        <v>70</v>
      </c>
      <c r="D72" s="34" t="s">
        <v>62</v>
      </c>
      <c r="E72" s="34" t="s">
        <v>78</v>
      </c>
      <c r="F72" s="35">
        <v>16344</v>
      </c>
      <c r="G72" s="35">
        <v>452</v>
      </c>
      <c r="H72" s="36">
        <v>2.7699999999999999E-2</v>
      </c>
      <c r="I72" s="37">
        <v>0.9</v>
      </c>
      <c r="J72" s="37">
        <v>406.8</v>
      </c>
      <c r="K72" s="35">
        <v>5</v>
      </c>
      <c r="L72" s="37">
        <v>81.36</v>
      </c>
      <c r="M72" s="37">
        <v>1102.53</v>
      </c>
      <c r="N72" s="38">
        <v>2.71</v>
      </c>
    </row>
    <row r="73" spans="1:14" x14ac:dyDescent="0.3">
      <c r="A73" s="33">
        <v>45377</v>
      </c>
      <c r="B73" s="34" t="s">
        <v>64</v>
      </c>
      <c r="C73" s="34" t="s">
        <v>67</v>
      </c>
      <c r="D73" s="34" t="s">
        <v>71</v>
      </c>
      <c r="E73" s="34" t="s">
        <v>63</v>
      </c>
      <c r="F73" s="35">
        <v>99457</v>
      </c>
      <c r="G73" s="35">
        <v>5808</v>
      </c>
      <c r="H73" s="36">
        <v>5.8400000000000001E-2</v>
      </c>
      <c r="I73" s="37">
        <v>1.6</v>
      </c>
      <c r="J73" s="37">
        <v>9292.7999999999993</v>
      </c>
      <c r="K73" s="35">
        <v>80</v>
      </c>
      <c r="L73" s="37">
        <v>116.16</v>
      </c>
      <c r="M73" s="37">
        <v>12231.1</v>
      </c>
      <c r="N73" s="38">
        <v>1.32</v>
      </c>
    </row>
    <row r="74" spans="1:14" x14ac:dyDescent="0.3">
      <c r="A74" s="33">
        <v>45450</v>
      </c>
      <c r="B74" s="34" t="s">
        <v>74</v>
      </c>
      <c r="C74" s="34" t="s">
        <v>67</v>
      </c>
      <c r="D74" s="34" t="s">
        <v>76</v>
      </c>
      <c r="E74" s="34" t="s">
        <v>77</v>
      </c>
      <c r="F74" s="35">
        <v>57375</v>
      </c>
      <c r="G74" s="35">
        <v>843</v>
      </c>
      <c r="H74" s="36">
        <v>1.47E-2</v>
      </c>
      <c r="I74" s="37">
        <v>1.61</v>
      </c>
      <c r="J74" s="37">
        <v>1357.23</v>
      </c>
      <c r="K74" s="35">
        <v>40</v>
      </c>
      <c r="L74" s="37">
        <v>33.93</v>
      </c>
      <c r="M74" s="37">
        <v>9739.81</v>
      </c>
      <c r="N74" s="38">
        <v>7.18</v>
      </c>
    </row>
    <row r="75" spans="1:14" x14ac:dyDescent="0.3">
      <c r="A75" s="33">
        <v>45399</v>
      </c>
      <c r="B75" s="34" t="s">
        <v>60</v>
      </c>
      <c r="C75" s="34" t="s">
        <v>75</v>
      </c>
      <c r="D75" s="34" t="s">
        <v>76</v>
      </c>
      <c r="E75" s="34" t="s">
        <v>63</v>
      </c>
      <c r="F75" s="35">
        <v>115017</v>
      </c>
      <c r="G75" s="35">
        <v>2771</v>
      </c>
      <c r="H75" s="36">
        <v>2.41E-2</v>
      </c>
      <c r="I75" s="37">
        <v>2.56</v>
      </c>
      <c r="J75" s="37">
        <v>7093.76</v>
      </c>
      <c r="K75" s="35">
        <v>95</v>
      </c>
      <c r="L75" s="37">
        <v>74.67</v>
      </c>
      <c r="M75" s="37">
        <v>22528.38</v>
      </c>
      <c r="N75" s="38">
        <v>3.18</v>
      </c>
    </row>
    <row r="76" spans="1:14" x14ac:dyDescent="0.3">
      <c r="A76" s="33">
        <v>45563</v>
      </c>
      <c r="B76" s="34" t="s">
        <v>74</v>
      </c>
      <c r="C76" s="34" t="s">
        <v>61</v>
      </c>
      <c r="D76" s="34" t="s">
        <v>65</v>
      </c>
      <c r="E76" s="34" t="s">
        <v>69</v>
      </c>
      <c r="F76" s="35">
        <v>90431</v>
      </c>
      <c r="G76" s="35">
        <v>1853</v>
      </c>
      <c r="H76" s="36">
        <v>2.0500000000000001E-2</v>
      </c>
      <c r="I76" s="37">
        <v>1.7</v>
      </c>
      <c r="J76" s="37">
        <v>3150.1</v>
      </c>
      <c r="K76" s="35">
        <v>57</v>
      </c>
      <c r="L76" s="37">
        <v>55.26</v>
      </c>
      <c r="M76" s="37">
        <v>14834.93</v>
      </c>
      <c r="N76" s="38">
        <v>4.71</v>
      </c>
    </row>
    <row r="77" spans="1:14" x14ac:dyDescent="0.3">
      <c r="A77" s="33">
        <v>45364</v>
      </c>
      <c r="B77" s="34" t="s">
        <v>74</v>
      </c>
      <c r="C77" s="34" t="s">
        <v>61</v>
      </c>
      <c r="D77" s="34" t="s">
        <v>76</v>
      </c>
      <c r="E77" s="34" t="s">
        <v>69</v>
      </c>
      <c r="F77" s="35">
        <v>140566</v>
      </c>
      <c r="G77" s="35">
        <v>5046</v>
      </c>
      <c r="H77" s="36">
        <v>3.5900000000000001E-2</v>
      </c>
      <c r="I77" s="37">
        <v>0.62</v>
      </c>
      <c r="J77" s="37">
        <v>3128.52</v>
      </c>
      <c r="K77" s="35">
        <v>384</v>
      </c>
      <c r="L77" s="37">
        <v>8.15</v>
      </c>
      <c r="M77" s="37">
        <v>59980.19</v>
      </c>
      <c r="N77" s="38">
        <v>19.170000000000002</v>
      </c>
    </row>
    <row r="78" spans="1:14" x14ac:dyDescent="0.3">
      <c r="A78" s="33">
        <v>45350</v>
      </c>
      <c r="B78" s="34" t="s">
        <v>74</v>
      </c>
      <c r="C78" s="34" t="s">
        <v>61</v>
      </c>
      <c r="D78" s="34" t="s">
        <v>65</v>
      </c>
      <c r="E78" s="34" t="s">
        <v>72</v>
      </c>
      <c r="F78" s="35">
        <v>133583</v>
      </c>
      <c r="G78" s="35">
        <v>3954</v>
      </c>
      <c r="H78" s="36">
        <v>2.9600000000000001E-2</v>
      </c>
      <c r="I78" s="37">
        <v>0.65</v>
      </c>
      <c r="J78" s="37">
        <v>2570.1</v>
      </c>
      <c r="K78" s="35">
        <v>255</v>
      </c>
      <c r="L78" s="37">
        <v>10.08</v>
      </c>
      <c r="M78" s="37">
        <v>31756.12</v>
      </c>
      <c r="N78" s="38">
        <v>12.36</v>
      </c>
    </row>
    <row r="79" spans="1:14" x14ac:dyDescent="0.3">
      <c r="A79" s="33">
        <v>45390</v>
      </c>
      <c r="B79" s="34" t="s">
        <v>60</v>
      </c>
      <c r="C79" s="34" t="s">
        <v>67</v>
      </c>
      <c r="D79" s="34" t="s">
        <v>76</v>
      </c>
      <c r="E79" s="34" t="s">
        <v>69</v>
      </c>
      <c r="F79" s="35">
        <v>198555</v>
      </c>
      <c r="G79" s="35">
        <v>13104</v>
      </c>
      <c r="H79" s="36">
        <v>6.6000000000000003E-2</v>
      </c>
      <c r="I79" s="37">
        <v>2.46</v>
      </c>
      <c r="J79" s="37">
        <v>32235.84</v>
      </c>
      <c r="K79" s="35">
        <v>336</v>
      </c>
      <c r="L79" s="37">
        <v>95.94</v>
      </c>
      <c r="M79" s="37">
        <v>58794.32</v>
      </c>
      <c r="N79" s="38">
        <v>1.82</v>
      </c>
    </row>
    <row r="80" spans="1:14" x14ac:dyDescent="0.3">
      <c r="A80" s="33">
        <v>45558</v>
      </c>
      <c r="B80" s="34" t="s">
        <v>74</v>
      </c>
      <c r="C80" s="34" t="s">
        <v>75</v>
      </c>
      <c r="D80" s="34" t="s">
        <v>68</v>
      </c>
      <c r="E80" s="34" t="s">
        <v>66</v>
      </c>
      <c r="F80" s="35">
        <v>88560</v>
      </c>
      <c r="G80" s="35">
        <v>1319</v>
      </c>
      <c r="H80" s="36">
        <v>1.49E-2</v>
      </c>
      <c r="I80" s="37">
        <v>0.52</v>
      </c>
      <c r="J80" s="37">
        <v>685.88</v>
      </c>
      <c r="K80" s="35">
        <v>81</v>
      </c>
      <c r="L80" s="37">
        <v>8.4700000000000006</v>
      </c>
      <c r="M80" s="37">
        <v>8584.02</v>
      </c>
      <c r="N80" s="38">
        <v>12.52</v>
      </c>
    </row>
    <row r="81" spans="1:14" x14ac:dyDescent="0.3">
      <c r="A81" s="33">
        <v>45467</v>
      </c>
      <c r="B81" s="34" t="s">
        <v>60</v>
      </c>
      <c r="C81" s="34" t="s">
        <v>75</v>
      </c>
      <c r="D81" s="34" t="s">
        <v>62</v>
      </c>
      <c r="E81" s="34" t="s">
        <v>63</v>
      </c>
      <c r="F81" s="35">
        <v>117217</v>
      </c>
      <c r="G81" s="35">
        <v>5602</v>
      </c>
      <c r="H81" s="36">
        <v>4.7800000000000002E-2</v>
      </c>
      <c r="I81" s="37">
        <v>3.49</v>
      </c>
      <c r="J81" s="37">
        <v>19550.98</v>
      </c>
      <c r="K81" s="35">
        <v>411</v>
      </c>
      <c r="L81" s="37">
        <v>47.57</v>
      </c>
      <c r="M81" s="37">
        <v>75729.259999999995</v>
      </c>
      <c r="N81" s="38">
        <v>3.87</v>
      </c>
    </row>
    <row r="82" spans="1:14" x14ac:dyDescent="0.3">
      <c r="A82" s="33">
        <v>45528</v>
      </c>
      <c r="B82" s="34" t="s">
        <v>74</v>
      </c>
      <c r="C82" s="34" t="s">
        <v>70</v>
      </c>
      <c r="D82" s="34" t="s">
        <v>62</v>
      </c>
      <c r="E82" s="34" t="s">
        <v>63</v>
      </c>
      <c r="F82" s="35">
        <v>104616</v>
      </c>
      <c r="G82" s="35">
        <v>4048</v>
      </c>
      <c r="H82" s="36">
        <v>3.8699999999999998E-2</v>
      </c>
      <c r="I82" s="37">
        <v>1.77</v>
      </c>
      <c r="J82" s="37">
        <v>7164.96</v>
      </c>
      <c r="K82" s="35">
        <v>233</v>
      </c>
      <c r="L82" s="37">
        <v>30.75</v>
      </c>
      <c r="M82" s="37">
        <v>45906.84</v>
      </c>
      <c r="N82" s="38">
        <v>6.41</v>
      </c>
    </row>
    <row r="83" spans="1:14" x14ac:dyDescent="0.3">
      <c r="A83" s="33">
        <v>45336</v>
      </c>
      <c r="B83" s="34" t="s">
        <v>64</v>
      </c>
      <c r="C83" s="34" t="s">
        <v>67</v>
      </c>
      <c r="D83" s="34" t="s">
        <v>68</v>
      </c>
      <c r="E83" s="34" t="s">
        <v>73</v>
      </c>
      <c r="F83" s="35">
        <v>79553</v>
      </c>
      <c r="G83" s="35">
        <v>2712</v>
      </c>
      <c r="H83" s="36">
        <v>3.4099999999999998E-2</v>
      </c>
      <c r="I83" s="37">
        <v>0.31</v>
      </c>
      <c r="J83" s="37">
        <v>840.72</v>
      </c>
      <c r="K83" s="35">
        <v>170</v>
      </c>
      <c r="L83" s="37">
        <v>4.95</v>
      </c>
      <c r="M83" s="37">
        <v>16973.79</v>
      </c>
      <c r="N83" s="38">
        <v>20.190000000000001</v>
      </c>
    </row>
    <row r="84" spans="1:14" x14ac:dyDescent="0.3">
      <c r="A84" s="33">
        <v>45524</v>
      </c>
      <c r="B84" s="34" t="s">
        <v>60</v>
      </c>
      <c r="C84" s="34" t="s">
        <v>61</v>
      </c>
      <c r="D84" s="34" t="s">
        <v>62</v>
      </c>
      <c r="E84" s="34" t="s">
        <v>69</v>
      </c>
      <c r="F84" s="35">
        <v>170904</v>
      </c>
      <c r="G84" s="35">
        <v>4751</v>
      </c>
      <c r="H84" s="36">
        <v>2.7799999999999998E-2</v>
      </c>
      <c r="I84" s="37">
        <v>1.1200000000000001</v>
      </c>
      <c r="J84" s="37">
        <v>5321.12</v>
      </c>
      <c r="K84" s="35">
        <v>326</v>
      </c>
      <c r="L84" s="37">
        <v>16.32</v>
      </c>
      <c r="M84" s="37">
        <v>44297.15</v>
      </c>
      <c r="N84" s="38">
        <v>8.32</v>
      </c>
    </row>
    <row r="85" spans="1:14" x14ac:dyDescent="0.3">
      <c r="A85" s="33">
        <v>45487</v>
      </c>
      <c r="B85" s="34" t="s">
        <v>60</v>
      </c>
      <c r="C85" s="34" t="s">
        <v>61</v>
      </c>
      <c r="D85" s="34" t="s">
        <v>68</v>
      </c>
      <c r="E85" s="34" t="s">
        <v>77</v>
      </c>
      <c r="F85" s="35">
        <v>88807</v>
      </c>
      <c r="G85" s="35">
        <v>4999</v>
      </c>
      <c r="H85" s="36">
        <v>5.6300000000000003E-2</v>
      </c>
      <c r="I85" s="37">
        <v>2.37</v>
      </c>
      <c r="J85" s="37">
        <v>11847.63</v>
      </c>
      <c r="K85" s="35">
        <v>348</v>
      </c>
      <c r="L85" s="37">
        <v>34.04</v>
      </c>
      <c r="M85" s="37">
        <v>103474.34</v>
      </c>
      <c r="N85" s="38">
        <v>8.73</v>
      </c>
    </row>
    <row r="86" spans="1:14" x14ac:dyDescent="0.3">
      <c r="A86" s="33">
        <v>45518</v>
      </c>
      <c r="B86" s="34" t="s">
        <v>74</v>
      </c>
      <c r="C86" s="34" t="s">
        <v>70</v>
      </c>
      <c r="D86" s="34" t="s">
        <v>65</v>
      </c>
      <c r="E86" s="34" t="s">
        <v>73</v>
      </c>
      <c r="F86" s="35">
        <v>157499</v>
      </c>
      <c r="G86" s="35">
        <v>1574</v>
      </c>
      <c r="H86" s="36">
        <v>0.01</v>
      </c>
      <c r="I86" s="37">
        <v>1.76</v>
      </c>
      <c r="J86" s="37">
        <v>2770.24</v>
      </c>
      <c r="K86" s="35">
        <v>45</v>
      </c>
      <c r="L86" s="37">
        <v>61.56</v>
      </c>
      <c r="M86" s="37">
        <v>13465.06</v>
      </c>
      <c r="N86" s="38">
        <v>4.8600000000000003</v>
      </c>
    </row>
    <row r="87" spans="1:14" x14ac:dyDescent="0.3">
      <c r="A87" s="33">
        <v>45562</v>
      </c>
      <c r="B87" s="34" t="s">
        <v>74</v>
      </c>
      <c r="C87" s="34" t="s">
        <v>61</v>
      </c>
      <c r="D87" s="34" t="s">
        <v>76</v>
      </c>
      <c r="E87" s="34" t="s">
        <v>78</v>
      </c>
      <c r="F87" s="35">
        <v>46846</v>
      </c>
      <c r="G87" s="35">
        <v>983</v>
      </c>
      <c r="H87" s="36">
        <v>2.1000000000000001E-2</v>
      </c>
      <c r="I87" s="37">
        <v>0.72</v>
      </c>
      <c r="J87" s="37">
        <v>707.76</v>
      </c>
      <c r="K87" s="35">
        <v>11</v>
      </c>
      <c r="L87" s="37">
        <v>64.34</v>
      </c>
      <c r="M87" s="37">
        <v>2501.87</v>
      </c>
      <c r="N87" s="38">
        <v>3.53</v>
      </c>
    </row>
    <row r="88" spans="1:14" x14ac:dyDescent="0.3">
      <c r="A88" s="33">
        <v>45553</v>
      </c>
      <c r="B88" s="34" t="s">
        <v>64</v>
      </c>
      <c r="C88" s="34" t="s">
        <v>61</v>
      </c>
      <c r="D88" s="34" t="s">
        <v>62</v>
      </c>
      <c r="E88" s="34" t="s">
        <v>72</v>
      </c>
      <c r="F88" s="35">
        <v>104986</v>
      </c>
      <c r="G88" s="35">
        <v>6131</v>
      </c>
      <c r="H88" s="36">
        <v>5.8400000000000001E-2</v>
      </c>
      <c r="I88" s="37">
        <v>0.36</v>
      </c>
      <c r="J88" s="37">
        <v>2207.16</v>
      </c>
      <c r="K88" s="35">
        <v>219</v>
      </c>
      <c r="L88" s="37">
        <v>10.08</v>
      </c>
      <c r="M88" s="37">
        <v>57679.5</v>
      </c>
      <c r="N88" s="38">
        <v>26.13</v>
      </c>
    </row>
    <row r="89" spans="1:14" x14ac:dyDescent="0.3">
      <c r="A89" s="33">
        <v>45436</v>
      </c>
      <c r="B89" s="34" t="s">
        <v>74</v>
      </c>
      <c r="C89" s="34" t="s">
        <v>70</v>
      </c>
      <c r="D89" s="34" t="s">
        <v>65</v>
      </c>
      <c r="E89" s="34" t="s">
        <v>77</v>
      </c>
      <c r="F89" s="35">
        <v>172516</v>
      </c>
      <c r="G89" s="35">
        <v>6314</v>
      </c>
      <c r="H89" s="36">
        <v>3.6600000000000001E-2</v>
      </c>
      <c r="I89" s="37">
        <v>0.72</v>
      </c>
      <c r="J89" s="37">
        <v>4546.08</v>
      </c>
      <c r="K89" s="35">
        <v>335</v>
      </c>
      <c r="L89" s="37">
        <v>13.57</v>
      </c>
      <c r="M89" s="37">
        <v>82096.800000000003</v>
      </c>
      <c r="N89" s="38">
        <v>18.059999999999999</v>
      </c>
    </row>
    <row r="90" spans="1:14" x14ac:dyDescent="0.3">
      <c r="A90" s="33">
        <v>45527</v>
      </c>
      <c r="B90" s="34" t="s">
        <v>74</v>
      </c>
      <c r="C90" s="34" t="s">
        <v>75</v>
      </c>
      <c r="D90" s="34" t="s">
        <v>76</v>
      </c>
      <c r="E90" s="34" t="s">
        <v>77</v>
      </c>
      <c r="F90" s="35">
        <v>187099</v>
      </c>
      <c r="G90" s="35">
        <v>2469</v>
      </c>
      <c r="H90" s="36">
        <v>1.32E-2</v>
      </c>
      <c r="I90" s="37">
        <v>0.83</v>
      </c>
      <c r="J90" s="37">
        <v>2049.27</v>
      </c>
      <c r="K90" s="35">
        <v>103</v>
      </c>
      <c r="L90" s="37">
        <v>19.899999999999999</v>
      </c>
      <c r="M90" s="37">
        <v>3413.17</v>
      </c>
      <c r="N90" s="38">
        <v>1.67</v>
      </c>
    </row>
    <row r="91" spans="1:14" x14ac:dyDescent="0.3">
      <c r="A91" s="33">
        <v>45386</v>
      </c>
      <c r="B91" s="34" t="s">
        <v>60</v>
      </c>
      <c r="C91" s="34" t="s">
        <v>70</v>
      </c>
      <c r="D91" s="34" t="s">
        <v>71</v>
      </c>
      <c r="E91" s="34" t="s">
        <v>77</v>
      </c>
      <c r="F91" s="35">
        <v>111661</v>
      </c>
      <c r="G91" s="35">
        <v>3930</v>
      </c>
      <c r="H91" s="36">
        <v>3.5200000000000002E-2</v>
      </c>
      <c r="I91" s="37">
        <v>0.84</v>
      </c>
      <c r="J91" s="37">
        <v>3301.2</v>
      </c>
      <c r="K91" s="35">
        <v>310</v>
      </c>
      <c r="L91" s="37">
        <v>10.65</v>
      </c>
      <c r="M91" s="37">
        <v>21226.880000000001</v>
      </c>
      <c r="N91" s="38">
        <v>6.43</v>
      </c>
    </row>
    <row r="92" spans="1:14" x14ac:dyDescent="0.3">
      <c r="A92" s="33">
        <v>45452</v>
      </c>
      <c r="B92" s="34" t="s">
        <v>74</v>
      </c>
      <c r="C92" s="34" t="s">
        <v>75</v>
      </c>
      <c r="D92" s="34" t="s">
        <v>65</v>
      </c>
      <c r="E92" s="34" t="s">
        <v>72</v>
      </c>
      <c r="F92" s="35">
        <v>79441</v>
      </c>
      <c r="G92" s="35">
        <v>3082</v>
      </c>
      <c r="H92" s="36">
        <v>3.8800000000000001E-2</v>
      </c>
      <c r="I92" s="37">
        <v>0.53</v>
      </c>
      <c r="J92" s="37">
        <v>1633.46</v>
      </c>
      <c r="K92" s="35">
        <v>100</v>
      </c>
      <c r="L92" s="37">
        <v>16.329999999999998</v>
      </c>
      <c r="M92" s="37">
        <v>29391.59</v>
      </c>
      <c r="N92" s="38">
        <v>17.989999999999998</v>
      </c>
    </row>
    <row r="93" spans="1:14" x14ac:dyDescent="0.3">
      <c r="A93" s="33">
        <v>45397</v>
      </c>
      <c r="B93" s="34" t="s">
        <v>60</v>
      </c>
      <c r="C93" s="34" t="s">
        <v>75</v>
      </c>
      <c r="D93" s="34" t="s">
        <v>71</v>
      </c>
      <c r="E93" s="34" t="s">
        <v>78</v>
      </c>
      <c r="F93" s="35">
        <v>14078</v>
      </c>
      <c r="G93" s="35">
        <v>763</v>
      </c>
      <c r="H93" s="36">
        <v>5.4199999999999998E-2</v>
      </c>
      <c r="I93" s="37">
        <v>2.2599999999999998</v>
      </c>
      <c r="J93" s="37">
        <v>1724.38</v>
      </c>
      <c r="K93" s="35">
        <v>57</v>
      </c>
      <c r="L93" s="37">
        <v>30.25</v>
      </c>
      <c r="M93" s="37">
        <v>16289.72</v>
      </c>
      <c r="N93" s="38">
        <v>9.4499999999999993</v>
      </c>
    </row>
    <row r="94" spans="1:14" x14ac:dyDescent="0.3">
      <c r="A94" s="33">
        <v>45298</v>
      </c>
      <c r="B94" s="34" t="s">
        <v>74</v>
      </c>
      <c r="C94" s="34" t="s">
        <v>70</v>
      </c>
      <c r="D94" s="34" t="s">
        <v>62</v>
      </c>
      <c r="E94" s="34" t="s">
        <v>78</v>
      </c>
      <c r="F94" s="35">
        <v>182235</v>
      </c>
      <c r="G94" s="35">
        <v>5047</v>
      </c>
      <c r="H94" s="36">
        <v>2.7699999999999999E-2</v>
      </c>
      <c r="I94" s="37">
        <v>0.74</v>
      </c>
      <c r="J94" s="37">
        <v>3734.78</v>
      </c>
      <c r="K94" s="35">
        <v>260</v>
      </c>
      <c r="L94" s="37">
        <v>14.36</v>
      </c>
      <c r="M94" s="37">
        <v>53450.65</v>
      </c>
      <c r="N94" s="38">
        <v>14.31</v>
      </c>
    </row>
    <row r="95" spans="1:14" x14ac:dyDescent="0.3">
      <c r="A95" s="33">
        <v>45346</v>
      </c>
      <c r="B95" s="34" t="s">
        <v>74</v>
      </c>
      <c r="C95" s="34" t="s">
        <v>67</v>
      </c>
      <c r="D95" s="34" t="s">
        <v>71</v>
      </c>
      <c r="E95" s="34" t="s">
        <v>73</v>
      </c>
      <c r="F95" s="35">
        <v>128629</v>
      </c>
      <c r="G95" s="35">
        <v>2109</v>
      </c>
      <c r="H95" s="36">
        <v>1.6400000000000001E-2</v>
      </c>
      <c r="I95" s="37">
        <v>1.29</v>
      </c>
      <c r="J95" s="37">
        <v>2720.61</v>
      </c>
      <c r="K95" s="35">
        <v>168</v>
      </c>
      <c r="L95" s="37">
        <v>16.190000000000001</v>
      </c>
      <c r="M95" s="37">
        <v>49256.62</v>
      </c>
      <c r="N95" s="38">
        <v>18.100000000000001</v>
      </c>
    </row>
    <row r="96" spans="1:14" x14ac:dyDescent="0.3">
      <c r="A96" s="33">
        <v>45384</v>
      </c>
      <c r="B96" s="34" t="s">
        <v>74</v>
      </c>
      <c r="C96" s="34" t="s">
        <v>75</v>
      </c>
      <c r="D96" s="34" t="s">
        <v>62</v>
      </c>
      <c r="E96" s="34" t="s">
        <v>73</v>
      </c>
      <c r="F96" s="35">
        <v>21309</v>
      </c>
      <c r="G96" s="35">
        <v>432</v>
      </c>
      <c r="H96" s="36">
        <v>2.0299999999999999E-2</v>
      </c>
      <c r="I96" s="37">
        <v>1.66</v>
      </c>
      <c r="J96" s="37">
        <v>717.12</v>
      </c>
      <c r="K96" s="35">
        <v>15</v>
      </c>
      <c r="L96" s="37">
        <v>47.81</v>
      </c>
      <c r="M96" s="37">
        <v>4449.9799999999996</v>
      </c>
      <c r="N96" s="38">
        <v>6.21</v>
      </c>
    </row>
    <row r="97" spans="1:14" x14ac:dyDescent="0.3">
      <c r="A97" s="33">
        <v>45541</v>
      </c>
      <c r="B97" s="34" t="s">
        <v>60</v>
      </c>
      <c r="C97" s="34" t="s">
        <v>61</v>
      </c>
      <c r="D97" s="34" t="s">
        <v>62</v>
      </c>
      <c r="E97" s="34" t="s">
        <v>69</v>
      </c>
      <c r="F97" s="35">
        <v>167932</v>
      </c>
      <c r="G97" s="35">
        <v>6717</v>
      </c>
      <c r="H97" s="36">
        <v>0.04</v>
      </c>
      <c r="I97" s="37">
        <v>2.46</v>
      </c>
      <c r="J97" s="37">
        <v>16523.82</v>
      </c>
      <c r="K97" s="35">
        <v>247</v>
      </c>
      <c r="L97" s="37">
        <v>66.900000000000006</v>
      </c>
      <c r="M97" s="37">
        <v>38475.06</v>
      </c>
      <c r="N97" s="38">
        <v>2.33</v>
      </c>
    </row>
    <row r="98" spans="1:14" x14ac:dyDescent="0.3">
      <c r="A98" s="33">
        <v>45299</v>
      </c>
      <c r="B98" s="34" t="s">
        <v>64</v>
      </c>
      <c r="C98" s="34" t="s">
        <v>61</v>
      </c>
      <c r="D98" s="34" t="s">
        <v>62</v>
      </c>
      <c r="E98" s="34" t="s">
        <v>66</v>
      </c>
      <c r="F98" s="35">
        <v>162795</v>
      </c>
      <c r="G98" s="35">
        <v>8107</v>
      </c>
      <c r="H98" s="36">
        <v>4.9799999999999997E-2</v>
      </c>
      <c r="I98" s="37">
        <v>0.96</v>
      </c>
      <c r="J98" s="37">
        <v>7782.72</v>
      </c>
      <c r="K98" s="35">
        <v>575</v>
      </c>
      <c r="L98" s="37">
        <v>13.54</v>
      </c>
      <c r="M98" s="37">
        <v>86383.64</v>
      </c>
      <c r="N98" s="38">
        <v>11.1</v>
      </c>
    </row>
    <row r="99" spans="1:14" x14ac:dyDescent="0.3">
      <c r="A99" s="33">
        <v>45522</v>
      </c>
      <c r="B99" s="34" t="s">
        <v>74</v>
      </c>
      <c r="C99" s="34" t="s">
        <v>61</v>
      </c>
      <c r="D99" s="34" t="s">
        <v>65</v>
      </c>
      <c r="E99" s="34" t="s">
        <v>66</v>
      </c>
      <c r="F99" s="35">
        <v>50893</v>
      </c>
      <c r="G99" s="35">
        <v>1124</v>
      </c>
      <c r="H99" s="36">
        <v>2.2100000000000002E-2</v>
      </c>
      <c r="I99" s="37">
        <v>1.41</v>
      </c>
      <c r="J99" s="37">
        <v>1584.84</v>
      </c>
      <c r="K99" s="35">
        <v>29</v>
      </c>
      <c r="L99" s="37">
        <v>54.65</v>
      </c>
      <c r="M99" s="37">
        <v>2707.5</v>
      </c>
      <c r="N99" s="38">
        <v>1.71</v>
      </c>
    </row>
    <row r="100" spans="1:14" x14ac:dyDescent="0.3">
      <c r="A100" s="33">
        <v>45557</v>
      </c>
      <c r="B100" s="34" t="s">
        <v>64</v>
      </c>
      <c r="C100" s="34" t="s">
        <v>75</v>
      </c>
      <c r="D100" s="34" t="s">
        <v>71</v>
      </c>
      <c r="E100" s="34" t="s">
        <v>63</v>
      </c>
      <c r="F100" s="35">
        <v>81619</v>
      </c>
      <c r="G100" s="35">
        <v>3623</v>
      </c>
      <c r="H100" s="36">
        <v>4.4400000000000002E-2</v>
      </c>
      <c r="I100" s="37">
        <v>0.47</v>
      </c>
      <c r="J100" s="37">
        <v>1702.81</v>
      </c>
      <c r="K100" s="35">
        <v>222</v>
      </c>
      <c r="L100" s="37">
        <v>7.67</v>
      </c>
      <c r="M100" s="37">
        <v>46448.44</v>
      </c>
      <c r="N100" s="38">
        <v>27.28</v>
      </c>
    </row>
    <row r="101" spans="1:14" x14ac:dyDescent="0.3">
      <c r="A101" s="33">
        <v>45498</v>
      </c>
      <c r="B101" s="34" t="s">
        <v>74</v>
      </c>
      <c r="C101" s="34" t="s">
        <v>61</v>
      </c>
      <c r="D101" s="34" t="s">
        <v>65</v>
      </c>
      <c r="E101" s="34" t="s">
        <v>72</v>
      </c>
      <c r="F101" s="35">
        <v>154381</v>
      </c>
      <c r="G101" s="35">
        <v>1698</v>
      </c>
      <c r="H101" s="36">
        <v>1.0999999999999999E-2</v>
      </c>
      <c r="I101" s="37">
        <v>1.85</v>
      </c>
      <c r="J101" s="37">
        <v>3141.3</v>
      </c>
      <c r="K101" s="35">
        <v>70</v>
      </c>
      <c r="L101" s="37">
        <v>44.88</v>
      </c>
      <c r="M101" s="37">
        <v>19750.240000000002</v>
      </c>
      <c r="N101" s="38">
        <v>6.29</v>
      </c>
    </row>
    <row r="102" spans="1:14" x14ac:dyDescent="0.3">
      <c r="A102" s="33">
        <v>45303</v>
      </c>
      <c r="B102" s="34" t="s">
        <v>60</v>
      </c>
      <c r="C102" s="34" t="s">
        <v>61</v>
      </c>
      <c r="D102" s="34" t="s">
        <v>62</v>
      </c>
      <c r="E102" s="34" t="s">
        <v>77</v>
      </c>
      <c r="F102" s="35">
        <v>124273</v>
      </c>
      <c r="G102" s="35">
        <v>3603</v>
      </c>
      <c r="H102" s="36">
        <v>2.9000000000000001E-2</v>
      </c>
      <c r="I102" s="37">
        <v>1.55</v>
      </c>
      <c r="J102" s="37">
        <v>5584.65</v>
      </c>
      <c r="K102" s="35">
        <v>167</v>
      </c>
      <c r="L102" s="37">
        <v>33.44</v>
      </c>
      <c r="M102" s="37">
        <v>20460.25</v>
      </c>
      <c r="N102" s="38">
        <v>3.66</v>
      </c>
    </row>
    <row r="103" spans="1:14" x14ac:dyDescent="0.3">
      <c r="A103" s="33">
        <v>45627</v>
      </c>
      <c r="B103" s="34" t="s">
        <v>74</v>
      </c>
      <c r="C103" s="34" t="s">
        <v>67</v>
      </c>
      <c r="D103" s="34" t="s">
        <v>68</v>
      </c>
      <c r="E103" s="34" t="s">
        <v>72</v>
      </c>
      <c r="F103" s="35">
        <v>6969</v>
      </c>
      <c r="G103" s="35">
        <v>176</v>
      </c>
      <c r="H103" s="36">
        <v>2.53E-2</v>
      </c>
      <c r="I103" s="37">
        <v>1.08</v>
      </c>
      <c r="J103" s="37">
        <v>190.08</v>
      </c>
      <c r="K103" s="35">
        <v>10</v>
      </c>
      <c r="L103" s="37">
        <v>19.010000000000002</v>
      </c>
      <c r="M103" s="37">
        <v>2562.91</v>
      </c>
      <c r="N103" s="38">
        <v>13.48</v>
      </c>
    </row>
    <row r="104" spans="1:14" x14ac:dyDescent="0.3">
      <c r="A104" s="33">
        <v>45436</v>
      </c>
      <c r="B104" s="34" t="s">
        <v>64</v>
      </c>
      <c r="C104" s="34" t="s">
        <v>75</v>
      </c>
      <c r="D104" s="34" t="s">
        <v>71</v>
      </c>
      <c r="E104" s="34" t="s">
        <v>66</v>
      </c>
      <c r="F104" s="35">
        <v>29089</v>
      </c>
      <c r="G104" s="35">
        <v>1076</v>
      </c>
      <c r="H104" s="36">
        <v>3.6999999999999998E-2</v>
      </c>
      <c r="I104" s="37">
        <v>0.65</v>
      </c>
      <c r="J104" s="37">
        <v>699.4</v>
      </c>
      <c r="K104" s="35">
        <v>40</v>
      </c>
      <c r="L104" s="37">
        <v>17.48</v>
      </c>
      <c r="M104" s="37">
        <v>8233.32</v>
      </c>
      <c r="N104" s="38">
        <v>11.77</v>
      </c>
    </row>
    <row r="105" spans="1:14" x14ac:dyDescent="0.3">
      <c r="A105" s="33">
        <v>45483</v>
      </c>
      <c r="B105" s="34" t="s">
        <v>60</v>
      </c>
      <c r="C105" s="34" t="s">
        <v>70</v>
      </c>
      <c r="D105" s="34" t="s">
        <v>71</v>
      </c>
      <c r="E105" s="34" t="s">
        <v>66</v>
      </c>
      <c r="F105" s="35">
        <v>10704</v>
      </c>
      <c r="G105" s="35">
        <v>489</v>
      </c>
      <c r="H105" s="36">
        <v>4.5699999999999998E-2</v>
      </c>
      <c r="I105" s="37">
        <v>1.71</v>
      </c>
      <c r="J105" s="37">
        <v>836.19</v>
      </c>
      <c r="K105" s="35">
        <v>36</v>
      </c>
      <c r="L105" s="37">
        <v>23.23</v>
      </c>
      <c r="M105" s="37">
        <v>5339.04</v>
      </c>
      <c r="N105" s="38">
        <v>6.38</v>
      </c>
    </row>
    <row r="106" spans="1:14" x14ac:dyDescent="0.3">
      <c r="A106" s="33">
        <v>45630</v>
      </c>
      <c r="B106" s="34" t="s">
        <v>64</v>
      </c>
      <c r="C106" s="34" t="s">
        <v>61</v>
      </c>
      <c r="D106" s="34" t="s">
        <v>76</v>
      </c>
      <c r="E106" s="34" t="s">
        <v>78</v>
      </c>
      <c r="F106" s="35">
        <v>22772</v>
      </c>
      <c r="G106" s="35">
        <v>1045</v>
      </c>
      <c r="H106" s="36">
        <v>4.5900000000000003E-2</v>
      </c>
      <c r="I106" s="37">
        <v>0.95</v>
      </c>
      <c r="J106" s="37">
        <v>992.75</v>
      </c>
      <c r="K106" s="35">
        <v>38</v>
      </c>
      <c r="L106" s="37">
        <v>26.12</v>
      </c>
      <c r="M106" s="37">
        <v>5743.6</v>
      </c>
      <c r="N106" s="38">
        <v>5.79</v>
      </c>
    </row>
    <row r="107" spans="1:14" x14ac:dyDescent="0.3">
      <c r="A107" s="33">
        <v>45393</v>
      </c>
      <c r="B107" s="34" t="s">
        <v>60</v>
      </c>
      <c r="C107" s="34" t="s">
        <v>61</v>
      </c>
      <c r="D107" s="34" t="s">
        <v>62</v>
      </c>
      <c r="E107" s="34" t="s">
        <v>72</v>
      </c>
      <c r="F107" s="35">
        <v>68449</v>
      </c>
      <c r="G107" s="35">
        <v>3285</v>
      </c>
      <c r="H107" s="36">
        <v>4.8000000000000001E-2</v>
      </c>
      <c r="I107" s="37">
        <v>2.38</v>
      </c>
      <c r="J107" s="37">
        <v>7818.3</v>
      </c>
      <c r="K107" s="35">
        <v>243</v>
      </c>
      <c r="L107" s="37">
        <v>32.17</v>
      </c>
      <c r="M107" s="37">
        <v>60681.21</v>
      </c>
      <c r="N107" s="38">
        <v>7.76</v>
      </c>
    </row>
    <row r="108" spans="1:14" x14ac:dyDescent="0.3">
      <c r="A108" s="33">
        <v>45591</v>
      </c>
      <c r="B108" s="34" t="s">
        <v>60</v>
      </c>
      <c r="C108" s="34" t="s">
        <v>61</v>
      </c>
      <c r="D108" s="34" t="s">
        <v>71</v>
      </c>
      <c r="E108" s="34" t="s">
        <v>63</v>
      </c>
      <c r="F108" s="35">
        <v>51819</v>
      </c>
      <c r="G108" s="35">
        <v>2497</v>
      </c>
      <c r="H108" s="36">
        <v>4.82E-2</v>
      </c>
      <c r="I108" s="37">
        <v>2.88</v>
      </c>
      <c r="J108" s="37">
        <v>7191.36</v>
      </c>
      <c r="K108" s="35">
        <v>138</v>
      </c>
      <c r="L108" s="37">
        <v>52.11</v>
      </c>
      <c r="M108" s="37">
        <v>37600.620000000003</v>
      </c>
      <c r="N108" s="38">
        <v>5.23</v>
      </c>
    </row>
    <row r="109" spans="1:14" x14ac:dyDescent="0.3">
      <c r="A109" s="33">
        <v>45615</v>
      </c>
      <c r="B109" s="34" t="s">
        <v>60</v>
      </c>
      <c r="C109" s="34" t="s">
        <v>67</v>
      </c>
      <c r="D109" s="34" t="s">
        <v>62</v>
      </c>
      <c r="E109" s="34" t="s">
        <v>78</v>
      </c>
      <c r="F109" s="35">
        <v>173722</v>
      </c>
      <c r="G109" s="35">
        <v>3821</v>
      </c>
      <c r="H109" s="36">
        <v>2.1999999999999999E-2</v>
      </c>
      <c r="I109" s="37">
        <v>1.54</v>
      </c>
      <c r="J109" s="37">
        <v>5884.34</v>
      </c>
      <c r="K109" s="35">
        <v>201</v>
      </c>
      <c r="L109" s="37">
        <v>29.28</v>
      </c>
      <c r="M109" s="37">
        <v>44895.5</v>
      </c>
      <c r="N109" s="38">
        <v>7.63</v>
      </c>
    </row>
    <row r="110" spans="1:14" x14ac:dyDescent="0.3">
      <c r="A110" s="33">
        <v>45641</v>
      </c>
      <c r="B110" s="34" t="s">
        <v>60</v>
      </c>
      <c r="C110" s="34" t="s">
        <v>70</v>
      </c>
      <c r="D110" s="34" t="s">
        <v>71</v>
      </c>
      <c r="E110" s="34" t="s">
        <v>69</v>
      </c>
      <c r="F110" s="35">
        <v>119014</v>
      </c>
      <c r="G110" s="35">
        <v>5938</v>
      </c>
      <c r="H110" s="36">
        <v>4.99E-2</v>
      </c>
      <c r="I110" s="37">
        <v>2.88</v>
      </c>
      <c r="J110" s="37">
        <v>17101.439999999999</v>
      </c>
      <c r="K110" s="35">
        <v>95</v>
      </c>
      <c r="L110" s="37">
        <v>180.02</v>
      </c>
      <c r="M110" s="37">
        <v>23773.95</v>
      </c>
      <c r="N110" s="38">
        <v>1.39</v>
      </c>
    </row>
    <row r="111" spans="1:14" x14ac:dyDescent="0.3">
      <c r="A111" s="33">
        <v>45432</v>
      </c>
      <c r="B111" s="34" t="s">
        <v>60</v>
      </c>
      <c r="C111" s="34" t="s">
        <v>61</v>
      </c>
      <c r="D111" s="34" t="s">
        <v>71</v>
      </c>
      <c r="E111" s="34" t="s">
        <v>78</v>
      </c>
      <c r="F111" s="35">
        <v>159741</v>
      </c>
      <c r="G111" s="35">
        <v>6868</v>
      </c>
      <c r="H111" s="36">
        <v>4.2999999999999997E-2</v>
      </c>
      <c r="I111" s="37">
        <v>1.37</v>
      </c>
      <c r="J111" s="37">
        <v>9409.16</v>
      </c>
      <c r="K111" s="35">
        <v>336</v>
      </c>
      <c r="L111" s="37">
        <v>28</v>
      </c>
      <c r="M111" s="37">
        <v>33272.11</v>
      </c>
      <c r="N111" s="38">
        <v>3.54</v>
      </c>
    </row>
    <row r="112" spans="1:14" x14ac:dyDescent="0.3">
      <c r="A112" s="33">
        <v>45351</v>
      </c>
      <c r="B112" s="34" t="s">
        <v>60</v>
      </c>
      <c r="C112" s="34" t="s">
        <v>70</v>
      </c>
      <c r="D112" s="34" t="s">
        <v>62</v>
      </c>
      <c r="E112" s="34" t="s">
        <v>72</v>
      </c>
      <c r="F112" s="35">
        <v>167982</v>
      </c>
      <c r="G112" s="35">
        <v>7693</v>
      </c>
      <c r="H112" s="36">
        <v>4.58E-2</v>
      </c>
      <c r="I112" s="37">
        <v>2.64</v>
      </c>
      <c r="J112" s="37">
        <v>20309.52</v>
      </c>
      <c r="K112" s="35">
        <v>193</v>
      </c>
      <c r="L112" s="37">
        <v>105.23</v>
      </c>
      <c r="M112" s="37">
        <v>10777.69</v>
      </c>
      <c r="N112" s="38">
        <v>0.53</v>
      </c>
    </row>
    <row r="113" spans="1:14" x14ac:dyDescent="0.3">
      <c r="A113" s="33">
        <v>45451</v>
      </c>
      <c r="B113" s="34" t="s">
        <v>60</v>
      </c>
      <c r="C113" s="34" t="s">
        <v>67</v>
      </c>
      <c r="D113" s="34" t="s">
        <v>62</v>
      </c>
      <c r="E113" s="34" t="s">
        <v>72</v>
      </c>
      <c r="F113" s="35">
        <v>96658</v>
      </c>
      <c r="G113" s="35">
        <v>2822</v>
      </c>
      <c r="H113" s="36">
        <v>2.92E-2</v>
      </c>
      <c r="I113" s="37">
        <v>3.37</v>
      </c>
      <c r="J113" s="37">
        <v>9510.14</v>
      </c>
      <c r="K113" s="35">
        <v>112</v>
      </c>
      <c r="L113" s="37">
        <v>84.91</v>
      </c>
      <c r="M113" s="37">
        <v>25060.16</v>
      </c>
      <c r="N113" s="38">
        <v>2.64</v>
      </c>
    </row>
    <row r="114" spans="1:14" x14ac:dyDescent="0.3">
      <c r="A114" s="33">
        <v>45310</v>
      </c>
      <c r="B114" s="34" t="s">
        <v>74</v>
      </c>
      <c r="C114" s="34" t="s">
        <v>67</v>
      </c>
      <c r="D114" s="34" t="s">
        <v>65</v>
      </c>
      <c r="E114" s="34" t="s">
        <v>77</v>
      </c>
      <c r="F114" s="35">
        <v>43467</v>
      </c>
      <c r="G114" s="35">
        <v>991</v>
      </c>
      <c r="H114" s="36">
        <v>2.2800000000000001E-2</v>
      </c>
      <c r="I114" s="37">
        <v>1.9</v>
      </c>
      <c r="J114" s="37">
        <v>1882.9</v>
      </c>
      <c r="K114" s="35">
        <v>25</v>
      </c>
      <c r="L114" s="37">
        <v>75.319999999999993</v>
      </c>
      <c r="M114" s="37">
        <v>3146.23</v>
      </c>
      <c r="N114" s="38">
        <v>1.67</v>
      </c>
    </row>
    <row r="115" spans="1:14" x14ac:dyDescent="0.3">
      <c r="A115" s="33">
        <v>45296</v>
      </c>
      <c r="B115" s="34" t="s">
        <v>60</v>
      </c>
      <c r="C115" s="34" t="s">
        <v>61</v>
      </c>
      <c r="D115" s="34" t="s">
        <v>65</v>
      </c>
      <c r="E115" s="34" t="s">
        <v>66</v>
      </c>
      <c r="F115" s="35">
        <v>41378</v>
      </c>
      <c r="G115" s="35">
        <v>2023</v>
      </c>
      <c r="H115" s="36">
        <v>4.8899999999999999E-2</v>
      </c>
      <c r="I115" s="37">
        <v>1.23</v>
      </c>
      <c r="J115" s="37">
        <v>2488.29</v>
      </c>
      <c r="K115" s="35">
        <v>73</v>
      </c>
      <c r="L115" s="37">
        <v>34.090000000000003</v>
      </c>
      <c r="M115" s="37">
        <v>9343.6299999999992</v>
      </c>
      <c r="N115" s="38">
        <v>3.76</v>
      </c>
    </row>
    <row r="116" spans="1:14" x14ac:dyDescent="0.3">
      <c r="A116" s="33">
        <v>45591</v>
      </c>
      <c r="B116" s="34" t="s">
        <v>64</v>
      </c>
      <c r="C116" s="34" t="s">
        <v>67</v>
      </c>
      <c r="D116" s="34" t="s">
        <v>65</v>
      </c>
      <c r="E116" s="34" t="s">
        <v>77</v>
      </c>
      <c r="F116" s="35">
        <v>100673</v>
      </c>
      <c r="G116" s="35">
        <v>5718</v>
      </c>
      <c r="H116" s="36">
        <v>5.6800000000000003E-2</v>
      </c>
      <c r="I116" s="37">
        <v>1.05</v>
      </c>
      <c r="J116" s="37">
        <v>6003.9</v>
      </c>
      <c r="K116" s="35">
        <v>196</v>
      </c>
      <c r="L116" s="37">
        <v>30.63</v>
      </c>
      <c r="M116" s="37">
        <v>41067.129999999997</v>
      </c>
      <c r="N116" s="38">
        <v>6.84</v>
      </c>
    </row>
    <row r="117" spans="1:14" x14ac:dyDescent="0.3">
      <c r="A117" s="33">
        <v>45639</v>
      </c>
      <c r="B117" s="34" t="s">
        <v>64</v>
      </c>
      <c r="C117" s="34" t="s">
        <v>70</v>
      </c>
      <c r="D117" s="34" t="s">
        <v>68</v>
      </c>
      <c r="E117" s="34" t="s">
        <v>78</v>
      </c>
      <c r="F117" s="35">
        <v>191994</v>
      </c>
      <c r="G117" s="35">
        <v>14898</v>
      </c>
      <c r="H117" s="36">
        <v>7.7600000000000002E-2</v>
      </c>
      <c r="I117" s="37">
        <v>1.08</v>
      </c>
      <c r="J117" s="37">
        <v>16089.84</v>
      </c>
      <c r="K117" s="35">
        <v>936</v>
      </c>
      <c r="L117" s="37">
        <v>17.190000000000001</v>
      </c>
      <c r="M117" s="37">
        <v>60355.75</v>
      </c>
      <c r="N117" s="38">
        <v>3.75</v>
      </c>
    </row>
    <row r="118" spans="1:14" x14ac:dyDescent="0.3">
      <c r="A118" s="33">
        <v>45433</v>
      </c>
      <c r="B118" s="34" t="s">
        <v>64</v>
      </c>
      <c r="C118" s="34" t="s">
        <v>75</v>
      </c>
      <c r="D118" s="34" t="s">
        <v>65</v>
      </c>
      <c r="E118" s="34" t="s">
        <v>66</v>
      </c>
      <c r="F118" s="35">
        <v>152235</v>
      </c>
      <c r="G118" s="35">
        <v>6104</v>
      </c>
      <c r="H118" s="36">
        <v>4.0099999999999997E-2</v>
      </c>
      <c r="I118" s="37">
        <v>0.73</v>
      </c>
      <c r="J118" s="37">
        <v>4455.92</v>
      </c>
      <c r="K118" s="35">
        <v>252</v>
      </c>
      <c r="L118" s="37">
        <v>17.68</v>
      </c>
      <c r="M118" s="37">
        <v>48424.44</v>
      </c>
      <c r="N118" s="38">
        <v>10.87</v>
      </c>
    </row>
    <row r="119" spans="1:14" x14ac:dyDescent="0.3">
      <c r="A119" s="33">
        <v>45633</v>
      </c>
      <c r="B119" s="34" t="s">
        <v>74</v>
      </c>
      <c r="C119" s="34" t="s">
        <v>67</v>
      </c>
      <c r="D119" s="34" t="s">
        <v>62</v>
      </c>
      <c r="E119" s="34" t="s">
        <v>78</v>
      </c>
      <c r="F119" s="35">
        <v>66929</v>
      </c>
      <c r="G119" s="35">
        <v>1539</v>
      </c>
      <c r="H119" s="36">
        <v>2.3E-2</v>
      </c>
      <c r="I119" s="37">
        <v>1.21</v>
      </c>
      <c r="J119" s="37">
        <v>1862.19</v>
      </c>
      <c r="K119" s="35">
        <v>38</v>
      </c>
      <c r="L119" s="37">
        <v>49.01</v>
      </c>
      <c r="M119" s="37">
        <v>9540.2199999999993</v>
      </c>
      <c r="N119" s="38">
        <v>5.12</v>
      </c>
    </row>
    <row r="120" spans="1:14" x14ac:dyDescent="0.3">
      <c r="A120" s="33">
        <v>45421</v>
      </c>
      <c r="B120" s="34" t="s">
        <v>60</v>
      </c>
      <c r="C120" s="34" t="s">
        <v>67</v>
      </c>
      <c r="D120" s="34" t="s">
        <v>71</v>
      </c>
      <c r="E120" s="34" t="s">
        <v>73</v>
      </c>
      <c r="F120" s="35">
        <v>188202</v>
      </c>
      <c r="G120" s="35">
        <v>7189</v>
      </c>
      <c r="H120" s="36">
        <v>3.8199999999999998E-2</v>
      </c>
      <c r="I120" s="37">
        <v>1.1499999999999999</v>
      </c>
      <c r="J120" s="37">
        <v>8267.35</v>
      </c>
      <c r="K120" s="35">
        <v>376</v>
      </c>
      <c r="L120" s="37">
        <v>21.99</v>
      </c>
      <c r="M120" s="37">
        <v>88923.49</v>
      </c>
      <c r="N120" s="38">
        <v>10.76</v>
      </c>
    </row>
    <row r="121" spans="1:14" x14ac:dyDescent="0.3">
      <c r="A121" s="33">
        <v>45316</v>
      </c>
      <c r="B121" s="34" t="s">
        <v>60</v>
      </c>
      <c r="C121" s="34" t="s">
        <v>67</v>
      </c>
      <c r="D121" s="34" t="s">
        <v>62</v>
      </c>
      <c r="E121" s="34" t="s">
        <v>69</v>
      </c>
      <c r="F121" s="35">
        <v>184316</v>
      </c>
      <c r="G121" s="35">
        <v>4091</v>
      </c>
      <c r="H121" s="36">
        <v>2.2200000000000001E-2</v>
      </c>
      <c r="I121" s="37">
        <v>1.04</v>
      </c>
      <c r="J121" s="37">
        <v>4254.6400000000003</v>
      </c>
      <c r="K121" s="35">
        <v>309</v>
      </c>
      <c r="L121" s="37">
        <v>13.77</v>
      </c>
      <c r="M121" s="37">
        <v>82363.460000000006</v>
      </c>
      <c r="N121" s="38">
        <v>19.36</v>
      </c>
    </row>
    <row r="122" spans="1:14" x14ac:dyDescent="0.3">
      <c r="A122" s="33">
        <v>45545</v>
      </c>
      <c r="B122" s="34" t="s">
        <v>60</v>
      </c>
      <c r="C122" s="34" t="s">
        <v>67</v>
      </c>
      <c r="D122" s="34" t="s">
        <v>68</v>
      </c>
      <c r="E122" s="34" t="s">
        <v>73</v>
      </c>
      <c r="F122" s="35">
        <v>65545</v>
      </c>
      <c r="G122" s="35">
        <v>3355</v>
      </c>
      <c r="H122" s="36">
        <v>5.1200000000000002E-2</v>
      </c>
      <c r="I122" s="37">
        <v>1.77</v>
      </c>
      <c r="J122" s="37">
        <v>5938.35</v>
      </c>
      <c r="K122" s="35">
        <v>196</v>
      </c>
      <c r="L122" s="37">
        <v>30.3</v>
      </c>
      <c r="M122" s="37">
        <v>57936.29</v>
      </c>
      <c r="N122" s="38">
        <v>9.76</v>
      </c>
    </row>
    <row r="123" spans="1:14" x14ac:dyDescent="0.3">
      <c r="A123" s="33">
        <v>45447</v>
      </c>
      <c r="B123" s="34" t="s">
        <v>60</v>
      </c>
      <c r="C123" s="34" t="s">
        <v>67</v>
      </c>
      <c r="D123" s="34" t="s">
        <v>68</v>
      </c>
      <c r="E123" s="34" t="s">
        <v>69</v>
      </c>
      <c r="F123" s="35">
        <v>33141</v>
      </c>
      <c r="G123" s="35">
        <v>798</v>
      </c>
      <c r="H123" s="36">
        <v>2.41E-2</v>
      </c>
      <c r="I123" s="37">
        <v>3.29</v>
      </c>
      <c r="J123" s="37">
        <v>2625.42</v>
      </c>
      <c r="K123" s="35">
        <v>42</v>
      </c>
      <c r="L123" s="37">
        <v>62.51</v>
      </c>
      <c r="M123" s="37">
        <v>7236.65</v>
      </c>
      <c r="N123" s="38">
        <v>2.76</v>
      </c>
    </row>
    <row r="124" spans="1:14" x14ac:dyDescent="0.3">
      <c r="A124" s="33">
        <v>45482</v>
      </c>
      <c r="B124" s="34" t="s">
        <v>74</v>
      </c>
      <c r="C124" s="34" t="s">
        <v>67</v>
      </c>
      <c r="D124" s="34" t="s">
        <v>68</v>
      </c>
      <c r="E124" s="34" t="s">
        <v>72</v>
      </c>
      <c r="F124" s="35">
        <v>76229</v>
      </c>
      <c r="G124" s="35">
        <v>1562</v>
      </c>
      <c r="H124" s="36">
        <v>2.0500000000000001E-2</v>
      </c>
      <c r="I124" s="37">
        <v>1.01</v>
      </c>
      <c r="J124" s="37">
        <v>1577.62</v>
      </c>
      <c r="K124" s="35">
        <v>30</v>
      </c>
      <c r="L124" s="37">
        <v>52.59</v>
      </c>
      <c r="M124" s="37">
        <v>4290.5</v>
      </c>
      <c r="N124" s="38">
        <v>2.72</v>
      </c>
    </row>
    <row r="125" spans="1:14" x14ac:dyDescent="0.3">
      <c r="A125" s="33">
        <v>45605</v>
      </c>
      <c r="B125" s="34" t="s">
        <v>64</v>
      </c>
      <c r="C125" s="34" t="s">
        <v>61</v>
      </c>
      <c r="D125" s="34" t="s">
        <v>71</v>
      </c>
      <c r="E125" s="34" t="s">
        <v>78</v>
      </c>
      <c r="F125" s="35">
        <v>141614</v>
      </c>
      <c r="G125" s="35">
        <v>10677</v>
      </c>
      <c r="H125" s="36">
        <v>7.5399999999999995E-2</v>
      </c>
      <c r="I125" s="37">
        <v>0.35</v>
      </c>
      <c r="J125" s="37">
        <v>3736.95</v>
      </c>
      <c r="K125" s="35">
        <v>305</v>
      </c>
      <c r="L125" s="37">
        <v>12.25</v>
      </c>
      <c r="M125" s="37">
        <v>62355.519999999997</v>
      </c>
      <c r="N125" s="38">
        <v>16.690000000000001</v>
      </c>
    </row>
    <row r="126" spans="1:14" x14ac:dyDescent="0.3">
      <c r="A126" s="33">
        <v>45487</v>
      </c>
      <c r="B126" s="34" t="s">
        <v>74</v>
      </c>
      <c r="C126" s="34" t="s">
        <v>70</v>
      </c>
      <c r="D126" s="34" t="s">
        <v>68</v>
      </c>
      <c r="E126" s="34" t="s">
        <v>66</v>
      </c>
      <c r="F126" s="35">
        <v>161193</v>
      </c>
      <c r="G126" s="35">
        <v>4916</v>
      </c>
      <c r="H126" s="36">
        <v>3.0499999999999999E-2</v>
      </c>
      <c r="I126" s="37">
        <v>1.37</v>
      </c>
      <c r="J126" s="37">
        <v>6734.92</v>
      </c>
      <c r="K126" s="35">
        <v>377</v>
      </c>
      <c r="L126" s="37">
        <v>17.86</v>
      </c>
      <c r="M126" s="37">
        <v>91408.9</v>
      </c>
      <c r="N126" s="38">
        <v>13.57</v>
      </c>
    </row>
    <row r="127" spans="1:14" x14ac:dyDescent="0.3">
      <c r="A127" s="33">
        <v>45339</v>
      </c>
      <c r="B127" s="34" t="s">
        <v>60</v>
      </c>
      <c r="C127" s="34" t="s">
        <v>61</v>
      </c>
      <c r="D127" s="34" t="s">
        <v>71</v>
      </c>
      <c r="E127" s="34" t="s">
        <v>72</v>
      </c>
      <c r="F127" s="35">
        <v>142244</v>
      </c>
      <c r="G127" s="35">
        <v>4935</v>
      </c>
      <c r="H127" s="36">
        <v>3.4700000000000002E-2</v>
      </c>
      <c r="I127" s="37">
        <v>2.98</v>
      </c>
      <c r="J127" s="37">
        <v>14706.3</v>
      </c>
      <c r="K127" s="35">
        <v>127</v>
      </c>
      <c r="L127" s="37">
        <v>115.8</v>
      </c>
      <c r="M127" s="37">
        <v>34307.21</v>
      </c>
      <c r="N127" s="38">
        <v>2.33</v>
      </c>
    </row>
    <row r="128" spans="1:14" x14ac:dyDescent="0.3">
      <c r="A128" s="33">
        <v>45378</v>
      </c>
      <c r="B128" s="34" t="s">
        <v>74</v>
      </c>
      <c r="C128" s="34" t="s">
        <v>61</v>
      </c>
      <c r="D128" s="34" t="s">
        <v>62</v>
      </c>
      <c r="E128" s="34" t="s">
        <v>63</v>
      </c>
      <c r="F128" s="35">
        <v>178063</v>
      </c>
      <c r="G128" s="35">
        <v>1851</v>
      </c>
      <c r="H128" s="36">
        <v>1.04E-2</v>
      </c>
      <c r="I128" s="37">
        <v>0.45</v>
      </c>
      <c r="J128" s="37">
        <v>832.95</v>
      </c>
      <c r="K128" s="35">
        <v>64</v>
      </c>
      <c r="L128" s="37">
        <v>13.01</v>
      </c>
      <c r="M128" s="37">
        <v>7044.13</v>
      </c>
      <c r="N128" s="38">
        <v>8.4600000000000009</v>
      </c>
    </row>
    <row r="129" spans="1:14" x14ac:dyDescent="0.3">
      <c r="A129" s="33">
        <v>45319</v>
      </c>
      <c r="B129" s="34" t="s">
        <v>60</v>
      </c>
      <c r="C129" s="34" t="s">
        <v>67</v>
      </c>
      <c r="D129" s="34" t="s">
        <v>62</v>
      </c>
      <c r="E129" s="34" t="s">
        <v>78</v>
      </c>
      <c r="F129" s="35">
        <v>193978</v>
      </c>
      <c r="G129" s="35">
        <v>5780</v>
      </c>
      <c r="H129" s="36">
        <v>2.98E-2</v>
      </c>
      <c r="I129" s="37">
        <v>1.73</v>
      </c>
      <c r="J129" s="37">
        <v>9999.4</v>
      </c>
      <c r="K129" s="35">
        <v>177</v>
      </c>
      <c r="L129" s="37">
        <v>56.49</v>
      </c>
      <c r="M129" s="37">
        <v>42071.17</v>
      </c>
      <c r="N129" s="38">
        <v>4.21</v>
      </c>
    </row>
    <row r="130" spans="1:14" x14ac:dyDescent="0.3">
      <c r="A130" s="33">
        <v>45340</v>
      </c>
      <c r="B130" s="34" t="s">
        <v>74</v>
      </c>
      <c r="C130" s="34" t="s">
        <v>75</v>
      </c>
      <c r="D130" s="34" t="s">
        <v>71</v>
      </c>
      <c r="E130" s="34" t="s">
        <v>73</v>
      </c>
      <c r="F130" s="35">
        <v>187051</v>
      </c>
      <c r="G130" s="35">
        <v>6284</v>
      </c>
      <c r="H130" s="36">
        <v>3.3599999999999998E-2</v>
      </c>
      <c r="I130" s="37">
        <v>2.0099999999999998</v>
      </c>
      <c r="J130" s="37">
        <v>12630.84</v>
      </c>
      <c r="K130" s="35">
        <v>493</v>
      </c>
      <c r="L130" s="37">
        <v>25.62</v>
      </c>
      <c r="M130" s="37">
        <v>94906.46</v>
      </c>
      <c r="N130" s="38">
        <v>7.51</v>
      </c>
    </row>
    <row r="131" spans="1:14" x14ac:dyDescent="0.3">
      <c r="A131" s="33">
        <v>45302</v>
      </c>
      <c r="B131" s="34" t="s">
        <v>74</v>
      </c>
      <c r="C131" s="34" t="s">
        <v>67</v>
      </c>
      <c r="D131" s="34" t="s">
        <v>65</v>
      </c>
      <c r="E131" s="34" t="s">
        <v>66</v>
      </c>
      <c r="F131" s="35">
        <v>152977</v>
      </c>
      <c r="G131" s="35">
        <v>5491</v>
      </c>
      <c r="H131" s="36">
        <v>3.5900000000000001E-2</v>
      </c>
      <c r="I131" s="37">
        <v>1.35</v>
      </c>
      <c r="J131" s="37">
        <v>7412.85</v>
      </c>
      <c r="K131" s="35">
        <v>147</v>
      </c>
      <c r="L131" s="37">
        <v>50.43</v>
      </c>
      <c r="M131" s="37">
        <v>9232.39</v>
      </c>
      <c r="N131" s="38">
        <v>1.25</v>
      </c>
    </row>
    <row r="132" spans="1:14" x14ac:dyDescent="0.3">
      <c r="A132" s="33">
        <v>45413</v>
      </c>
      <c r="B132" s="34" t="s">
        <v>60</v>
      </c>
      <c r="C132" s="34" t="s">
        <v>75</v>
      </c>
      <c r="D132" s="34" t="s">
        <v>76</v>
      </c>
      <c r="E132" s="34" t="s">
        <v>63</v>
      </c>
      <c r="F132" s="35">
        <v>129447</v>
      </c>
      <c r="G132" s="35">
        <v>4310</v>
      </c>
      <c r="H132" s="36">
        <v>3.3300000000000003E-2</v>
      </c>
      <c r="I132" s="37">
        <v>2.7</v>
      </c>
      <c r="J132" s="37">
        <v>11637</v>
      </c>
      <c r="K132" s="35">
        <v>211</v>
      </c>
      <c r="L132" s="37">
        <v>55.15</v>
      </c>
      <c r="M132" s="37">
        <v>16618.47</v>
      </c>
      <c r="N132" s="38">
        <v>1.43</v>
      </c>
    </row>
    <row r="133" spans="1:14" x14ac:dyDescent="0.3">
      <c r="A133" s="33">
        <v>45313</v>
      </c>
      <c r="B133" s="34" t="s">
        <v>60</v>
      </c>
      <c r="C133" s="34" t="s">
        <v>70</v>
      </c>
      <c r="D133" s="34" t="s">
        <v>62</v>
      </c>
      <c r="E133" s="34" t="s">
        <v>69</v>
      </c>
      <c r="F133" s="35">
        <v>28387</v>
      </c>
      <c r="G133" s="35">
        <v>672</v>
      </c>
      <c r="H133" s="36">
        <v>2.3699999999999999E-2</v>
      </c>
      <c r="I133" s="37">
        <v>3.32</v>
      </c>
      <c r="J133" s="37">
        <v>2231.04</v>
      </c>
      <c r="K133" s="35">
        <v>41</v>
      </c>
      <c r="L133" s="37">
        <v>54.42</v>
      </c>
      <c r="M133" s="37">
        <v>7232.57</v>
      </c>
      <c r="N133" s="38">
        <v>3.24</v>
      </c>
    </row>
    <row r="134" spans="1:14" x14ac:dyDescent="0.3">
      <c r="A134" s="33">
        <v>45409</v>
      </c>
      <c r="B134" s="34" t="s">
        <v>74</v>
      </c>
      <c r="C134" s="34" t="s">
        <v>70</v>
      </c>
      <c r="D134" s="34" t="s">
        <v>62</v>
      </c>
      <c r="E134" s="34" t="s">
        <v>78</v>
      </c>
      <c r="F134" s="35">
        <v>88986</v>
      </c>
      <c r="G134" s="35">
        <v>1308</v>
      </c>
      <c r="H134" s="36">
        <v>1.47E-2</v>
      </c>
      <c r="I134" s="37">
        <v>0.75</v>
      </c>
      <c r="J134" s="37">
        <v>981</v>
      </c>
      <c r="K134" s="35">
        <v>80</v>
      </c>
      <c r="L134" s="37">
        <v>12.26</v>
      </c>
      <c r="M134" s="37">
        <v>21439.34</v>
      </c>
      <c r="N134" s="38">
        <v>21.85</v>
      </c>
    </row>
    <row r="135" spans="1:14" x14ac:dyDescent="0.3">
      <c r="A135" s="33">
        <v>45301</v>
      </c>
      <c r="B135" s="34" t="s">
        <v>60</v>
      </c>
      <c r="C135" s="34" t="s">
        <v>67</v>
      </c>
      <c r="D135" s="34" t="s">
        <v>71</v>
      </c>
      <c r="E135" s="34" t="s">
        <v>66</v>
      </c>
      <c r="F135" s="35">
        <v>170268</v>
      </c>
      <c r="G135" s="35">
        <v>7917</v>
      </c>
      <c r="H135" s="36">
        <v>4.65E-2</v>
      </c>
      <c r="I135" s="37">
        <v>3.14</v>
      </c>
      <c r="J135" s="37">
        <v>24859.38</v>
      </c>
      <c r="K135" s="35">
        <v>98</v>
      </c>
      <c r="L135" s="37">
        <v>253.67</v>
      </c>
      <c r="M135" s="37">
        <v>22672.12</v>
      </c>
      <c r="N135" s="38">
        <v>0.91</v>
      </c>
    </row>
    <row r="136" spans="1:14" x14ac:dyDescent="0.3">
      <c r="A136" s="33">
        <v>45311</v>
      </c>
      <c r="B136" s="34" t="s">
        <v>60</v>
      </c>
      <c r="C136" s="34" t="s">
        <v>75</v>
      </c>
      <c r="D136" s="34" t="s">
        <v>68</v>
      </c>
      <c r="E136" s="34" t="s">
        <v>69</v>
      </c>
      <c r="F136" s="35">
        <v>122322</v>
      </c>
      <c r="G136" s="35">
        <v>6152</v>
      </c>
      <c r="H136" s="36">
        <v>5.0299999999999997E-2</v>
      </c>
      <c r="I136" s="37">
        <v>1.23</v>
      </c>
      <c r="J136" s="37">
        <v>7566.96</v>
      </c>
      <c r="K136" s="35">
        <v>155</v>
      </c>
      <c r="L136" s="37">
        <v>48.82</v>
      </c>
      <c r="M136" s="37">
        <v>10417.89</v>
      </c>
      <c r="N136" s="38">
        <v>1.38</v>
      </c>
    </row>
    <row r="137" spans="1:14" x14ac:dyDescent="0.3">
      <c r="A137" s="33">
        <v>45329</v>
      </c>
      <c r="B137" s="34" t="s">
        <v>74</v>
      </c>
      <c r="C137" s="34" t="s">
        <v>75</v>
      </c>
      <c r="D137" s="34" t="s">
        <v>68</v>
      </c>
      <c r="E137" s="34" t="s">
        <v>66</v>
      </c>
      <c r="F137" s="35">
        <v>69429</v>
      </c>
      <c r="G137" s="35">
        <v>2430</v>
      </c>
      <c r="H137" s="36">
        <v>3.5000000000000003E-2</v>
      </c>
      <c r="I137" s="37">
        <v>1.59</v>
      </c>
      <c r="J137" s="37">
        <v>3863.7</v>
      </c>
      <c r="K137" s="35">
        <v>119</v>
      </c>
      <c r="L137" s="37">
        <v>32.47</v>
      </c>
      <c r="M137" s="37">
        <v>21584.01</v>
      </c>
      <c r="N137" s="38">
        <v>5.59</v>
      </c>
    </row>
    <row r="138" spans="1:14" x14ac:dyDescent="0.3">
      <c r="A138" s="33">
        <v>45450</v>
      </c>
      <c r="B138" s="34" t="s">
        <v>74</v>
      </c>
      <c r="C138" s="34" t="s">
        <v>75</v>
      </c>
      <c r="D138" s="34" t="s">
        <v>71</v>
      </c>
      <c r="E138" s="34" t="s">
        <v>73</v>
      </c>
      <c r="F138" s="35">
        <v>196675</v>
      </c>
      <c r="G138" s="35">
        <v>4031</v>
      </c>
      <c r="H138" s="36">
        <v>2.0500000000000001E-2</v>
      </c>
      <c r="I138" s="37">
        <v>1.97</v>
      </c>
      <c r="J138" s="37">
        <v>7941.07</v>
      </c>
      <c r="K138" s="35">
        <v>186</v>
      </c>
      <c r="L138" s="37">
        <v>42.69</v>
      </c>
      <c r="M138" s="37">
        <v>27686.79</v>
      </c>
      <c r="N138" s="38">
        <v>3.49</v>
      </c>
    </row>
    <row r="139" spans="1:14" x14ac:dyDescent="0.3">
      <c r="A139" s="33">
        <v>45437</v>
      </c>
      <c r="B139" s="34" t="s">
        <v>60</v>
      </c>
      <c r="C139" s="34" t="s">
        <v>67</v>
      </c>
      <c r="D139" s="34" t="s">
        <v>76</v>
      </c>
      <c r="E139" s="34" t="s">
        <v>78</v>
      </c>
      <c r="F139" s="35">
        <v>104134</v>
      </c>
      <c r="G139" s="35">
        <v>3603</v>
      </c>
      <c r="H139" s="36">
        <v>3.4599999999999999E-2</v>
      </c>
      <c r="I139" s="37">
        <v>3.46</v>
      </c>
      <c r="J139" s="37">
        <v>12466.38</v>
      </c>
      <c r="K139" s="35">
        <v>234</v>
      </c>
      <c r="L139" s="37">
        <v>53.28</v>
      </c>
      <c r="M139" s="37">
        <v>14496.48</v>
      </c>
      <c r="N139" s="38">
        <v>1.1599999999999999</v>
      </c>
    </row>
    <row r="140" spans="1:14" x14ac:dyDescent="0.3">
      <c r="A140" s="33">
        <v>45650</v>
      </c>
      <c r="B140" s="34" t="s">
        <v>74</v>
      </c>
      <c r="C140" s="34" t="s">
        <v>75</v>
      </c>
      <c r="D140" s="34" t="s">
        <v>65</v>
      </c>
      <c r="E140" s="34" t="s">
        <v>73</v>
      </c>
      <c r="F140" s="35">
        <v>150544</v>
      </c>
      <c r="G140" s="35">
        <v>2890</v>
      </c>
      <c r="H140" s="36">
        <v>1.9199999999999998E-2</v>
      </c>
      <c r="I140" s="37">
        <v>1.7</v>
      </c>
      <c r="J140" s="37">
        <v>4913</v>
      </c>
      <c r="K140" s="35">
        <v>170</v>
      </c>
      <c r="L140" s="37">
        <v>28.9</v>
      </c>
      <c r="M140" s="37">
        <v>47769.42</v>
      </c>
      <c r="N140" s="38">
        <v>9.7200000000000006</v>
      </c>
    </row>
    <row r="141" spans="1:14" x14ac:dyDescent="0.3">
      <c r="A141" s="33">
        <v>45593</v>
      </c>
      <c r="B141" s="34" t="s">
        <v>64</v>
      </c>
      <c r="C141" s="34" t="s">
        <v>67</v>
      </c>
      <c r="D141" s="34" t="s">
        <v>71</v>
      </c>
      <c r="E141" s="34" t="s">
        <v>73</v>
      </c>
      <c r="F141" s="35">
        <v>75553</v>
      </c>
      <c r="G141" s="35">
        <v>3331</v>
      </c>
      <c r="H141" s="36">
        <v>4.41E-2</v>
      </c>
      <c r="I141" s="37">
        <v>0.44</v>
      </c>
      <c r="J141" s="37">
        <v>1465.64</v>
      </c>
      <c r="K141" s="35">
        <v>203</v>
      </c>
      <c r="L141" s="37">
        <v>7.22</v>
      </c>
      <c r="M141" s="37">
        <v>33301.040000000001</v>
      </c>
      <c r="N141" s="38">
        <v>22.72</v>
      </c>
    </row>
    <row r="142" spans="1:14" x14ac:dyDescent="0.3">
      <c r="A142" s="33">
        <v>45588</v>
      </c>
      <c r="B142" s="34" t="s">
        <v>74</v>
      </c>
      <c r="C142" s="34" t="s">
        <v>61</v>
      </c>
      <c r="D142" s="34" t="s">
        <v>65</v>
      </c>
      <c r="E142" s="34" t="s">
        <v>77</v>
      </c>
      <c r="F142" s="35">
        <v>149565</v>
      </c>
      <c r="G142" s="35">
        <v>2437</v>
      </c>
      <c r="H142" s="36">
        <v>1.6299999999999999E-2</v>
      </c>
      <c r="I142" s="37">
        <v>0.37</v>
      </c>
      <c r="J142" s="37">
        <v>901.69</v>
      </c>
      <c r="K142" s="35">
        <v>30</v>
      </c>
      <c r="L142" s="37">
        <v>30.06</v>
      </c>
      <c r="M142" s="37">
        <v>3133.33</v>
      </c>
      <c r="N142" s="38">
        <v>3.47</v>
      </c>
    </row>
    <row r="143" spans="1:14" x14ac:dyDescent="0.3">
      <c r="A143" s="33">
        <v>45397</v>
      </c>
      <c r="B143" s="34" t="s">
        <v>60</v>
      </c>
      <c r="C143" s="34" t="s">
        <v>75</v>
      </c>
      <c r="D143" s="34" t="s">
        <v>71</v>
      </c>
      <c r="E143" s="34" t="s">
        <v>77</v>
      </c>
      <c r="F143" s="35">
        <v>12896</v>
      </c>
      <c r="G143" s="35">
        <v>535</v>
      </c>
      <c r="H143" s="36">
        <v>4.1500000000000002E-2</v>
      </c>
      <c r="I143" s="37">
        <v>0.98</v>
      </c>
      <c r="J143" s="37">
        <v>524.29999999999995</v>
      </c>
      <c r="K143" s="35">
        <v>20</v>
      </c>
      <c r="L143" s="37">
        <v>26.21</v>
      </c>
      <c r="M143" s="37">
        <v>2475.65</v>
      </c>
      <c r="N143" s="38">
        <v>4.72</v>
      </c>
    </row>
    <row r="144" spans="1:14" x14ac:dyDescent="0.3">
      <c r="A144" s="33">
        <v>45434</v>
      </c>
      <c r="B144" s="34" t="s">
        <v>64</v>
      </c>
      <c r="C144" s="34" t="s">
        <v>75</v>
      </c>
      <c r="D144" s="34" t="s">
        <v>62</v>
      </c>
      <c r="E144" s="34" t="s">
        <v>72</v>
      </c>
      <c r="F144" s="35">
        <v>70428</v>
      </c>
      <c r="G144" s="35">
        <v>3310</v>
      </c>
      <c r="H144" s="36">
        <v>4.7E-2</v>
      </c>
      <c r="I144" s="37">
        <v>1.17</v>
      </c>
      <c r="J144" s="37">
        <v>3872.7</v>
      </c>
      <c r="K144" s="35">
        <v>164</v>
      </c>
      <c r="L144" s="37">
        <v>23.61</v>
      </c>
      <c r="M144" s="37">
        <v>25462.93</v>
      </c>
      <c r="N144" s="38">
        <v>6.57</v>
      </c>
    </row>
    <row r="145" spans="1:14" x14ac:dyDescent="0.3">
      <c r="A145" s="33">
        <v>45452</v>
      </c>
      <c r="B145" s="34" t="s">
        <v>64</v>
      </c>
      <c r="C145" s="34" t="s">
        <v>70</v>
      </c>
      <c r="D145" s="34" t="s">
        <v>65</v>
      </c>
      <c r="E145" s="34" t="s">
        <v>69</v>
      </c>
      <c r="F145" s="35">
        <v>12345</v>
      </c>
      <c r="G145" s="35">
        <v>456</v>
      </c>
      <c r="H145" s="36">
        <v>3.6999999999999998E-2</v>
      </c>
      <c r="I145" s="37">
        <v>0.62</v>
      </c>
      <c r="J145" s="37">
        <v>282.72000000000003</v>
      </c>
      <c r="K145" s="35">
        <v>21</v>
      </c>
      <c r="L145" s="37">
        <v>13.46</v>
      </c>
      <c r="M145" s="37">
        <v>5118.9399999999996</v>
      </c>
      <c r="N145" s="38">
        <v>18.11</v>
      </c>
    </row>
    <row r="146" spans="1:14" x14ac:dyDescent="0.3">
      <c r="A146" s="33">
        <v>45621</v>
      </c>
      <c r="B146" s="34" t="s">
        <v>74</v>
      </c>
      <c r="C146" s="34" t="s">
        <v>75</v>
      </c>
      <c r="D146" s="34" t="s">
        <v>71</v>
      </c>
      <c r="E146" s="34" t="s">
        <v>69</v>
      </c>
      <c r="F146" s="35">
        <v>18140</v>
      </c>
      <c r="G146" s="35">
        <v>455</v>
      </c>
      <c r="H146" s="36">
        <v>2.5100000000000001E-2</v>
      </c>
      <c r="I146" s="37">
        <v>1.1499999999999999</v>
      </c>
      <c r="J146" s="37">
        <v>523.25</v>
      </c>
      <c r="K146" s="35">
        <v>29</v>
      </c>
      <c r="L146" s="37">
        <v>18.04</v>
      </c>
      <c r="M146" s="37">
        <v>1746.46</v>
      </c>
      <c r="N146" s="38">
        <v>3.34</v>
      </c>
    </row>
    <row r="147" spans="1:14" x14ac:dyDescent="0.3">
      <c r="A147" s="33">
        <v>45340</v>
      </c>
      <c r="B147" s="34" t="s">
        <v>60</v>
      </c>
      <c r="C147" s="34" t="s">
        <v>67</v>
      </c>
      <c r="D147" s="34" t="s">
        <v>62</v>
      </c>
      <c r="E147" s="34" t="s">
        <v>78</v>
      </c>
      <c r="F147" s="35">
        <v>42823</v>
      </c>
      <c r="G147" s="35">
        <v>1588</v>
      </c>
      <c r="H147" s="36">
        <v>3.7100000000000001E-2</v>
      </c>
      <c r="I147" s="37">
        <v>2.97</v>
      </c>
      <c r="J147" s="37">
        <v>4716.3599999999997</v>
      </c>
      <c r="K147" s="35">
        <v>33</v>
      </c>
      <c r="L147" s="37">
        <v>142.91999999999999</v>
      </c>
      <c r="M147" s="37">
        <v>3266.45</v>
      </c>
      <c r="N147" s="38">
        <v>0.69</v>
      </c>
    </row>
    <row r="148" spans="1:14" x14ac:dyDescent="0.3">
      <c r="A148" s="33">
        <v>45317</v>
      </c>
      <c r="B148" s="34" t="s">
        <v>64</v>
      </c>
      <c r="C148" s="34" t="s">
        <v>70</v>
      </c>
      <c r="D148" s="34" t="s">
        <v>71</v>
      </c>
      <c r="E148" s="34" t="s">
        <v>72</v>
      </c>
      <c r="F148" s="35">
        <v>34118</v>
      </c>
      <c r="G148" s="35">
        <v>1470</v>
      </c>
      <c r="H148" s="36">
        <v>4.3099999999999999E-2</v>
      </c>
      <c r="I148" s="37">
        <v>0.85</v>
      </c>
      <c r="J148" s="37">
        <v>1249.5</v>
      </c>
      <c r="K148" s="35">
        <v>55</v>
      </c>
      <c r="L148" s="37">
        <v>22.72</v>
      </c>
      <c r="M148" s="37">
        <v>3037.11</v>
      </c>
      <c r="N148" s="38">
        <v>2.4300000000000002</v>
      </c>
    </row>
    <row r="149" spans="1:14" x14ac:dyDescent="0.3">
      <c r="A149" s="33">
        <v>45299</v>
      </c>
      <c r="B149" s="34" t="s">
        <v>74</v>
      </c>
      <c r="C149" s="34" t="s">
        <v>67</v>
      </c>
      <c r="D149" s="34" t="s">
        <v>65</v>
      </c>
      <c r="E149" s="34" t="s">
        <v>66</v>
      </c>
      <c r="F149" s="35">
        <v>127775</v>
      </c>
      <c r="G149" s="35">
        <v>3871</v>
      </c>
      <c r="H149" s="36">
        <v>3.0300000000000001E-2</v>
      </c>
      <c r="I149" s="37">
        <v>0.76</v>
      </c>
      <c r="J149" s="37">
        <v>2941.96</v>
      </c>
      <c r="K149" s="35">
        <v>159</v>
      </c>
      <c r="L149" s="37">
        <v>18.5</v>
      </c>
      <c r="M149" s="37">
        <v>28717.22</v>
      </c>
      <c r="N149" s="38">
        <v>9.76</v>
      </c>
    </row>
    <row r="150" spans="1:14" x14ac:dyDescent="0.3">
      <c r="A150" s="33">
        <v>45550</v>
      </c>
      <c r="B150" s="34" t="s">
        <v>60</v>
      </c>
      <c r="C150" s="34" t="s">
        <v>70</v>
      </c>
      <c r="D150" s="34" t="s">
        <v>62</v>
      </c>
      <c r="E150" s="34" t="s">
        <v>63</v>
      </c>
      <c r="F150" s="35">
        <v>136354</v>
      </c>
      <c r="G150" s="35">
        <v>3736</v>
      </c>
      <c r="H150" s="36">
        <v>2.7400000000000001E-2</v>
      </c>
      <c r="I150" s="37">
        <v>1.1599999999999999</v>
      </c>
      <c r="J150" s="37">
        <v>4333.76</v>
      </c>
      <c r="K150" s="35">
        <v>152</v>
      </c>
      <c r="L150" s="37">
        <v>28.51</v>
      </c>
      <c r="M150" s="37">
        <v>29811.83</v>
      </c>
      <c r="N150" s="38">
        <v>6.88</v>
      </c>
    </row>
    <row r="151" spans="1:14" x14ac:dyDescent="0.3">
      <c r="A151" s="33">
        <v>45593</v>
      </c>
      <c r="B151" s="34" t="s">
        <v>60</v>
      </c>
      <c r="C151" s="34" t="s">
        <v>70</v>
      </c>
      <c r="D151" s="34" t="s">
        <v>76</v>
      </c>
      <c r="E151" s="34" t="s">
        <v>72</v>
      </c>
      <c r="F151" s="35">
        <v>115454</v>
      </c>
      <c r="G151" s="35">
        <v>7227</v>
      </c>
      <c r="H151" s="36">
        <v>6.2600000000000003E-2</v>
      </c>
      <c r="I151" s="37">
        <v>2.46</v>
      </c>
      <c r="J151" s="37">
        <v>17778.419999999998</v>
      </c>
      <c r="K151" s="35">
        <v>154</v>
      </c>
      <c r="L151" s="37">
        <v>115.44</v>
      </c>
      <c r="M151" s="37">
        <v>5144.22</v>
      </c>
      <c r="N151" s="38">
        <v>0.28999999999999998</v>
      </c>
    </row>
    <row r="152" spans="1:14" x14ac:dyDescent="0.3">
      <c r="A152" s="33">
        <v>45445</v>
      </c>
      <c r="B152" s="34" t="s">
        <v>74</v>
      </c>
      <c r="C152" s="34" t="s">
        <v>61</v>
      </c>
      <c r="D152" s="34" t="s">
        <v>65</v>
      </c>
      <c r="E152" s="34" t="s">
        <v>69</v>
      </c>
      <c r="F152" s="35">
        <v>37994</v>
      </c>
      <c r="G152" s="35">
        <v>1379</v>
      </c>
      <c r="H152" s="36">
        <v>3.6299999999999999E-2</v>
      </c>
      <c r="I152" s="37">
        <v>1.06</v>
      </c>
      <c r="J152" s="37">
        <v>1461.74</v>
      </c>
      <c r="K152" s="35">
        <v>58</v>
      </c>
      <c r="L152" s="37">
        <v>25.2</v>
      </c>
      <c r="M152" s="37">
        <v>7343.12</v>
      </c>
      <c r="N152" s="38">
        <v>5.0199999999999996</v>
      </c>
    </row>
    <row r="153" spans="1:14" x14ac:dyDescent="0.3">
      <c r="A153" s="33">
        <v>45577</v>
      </c>
      <c r="B153" s="34" t="s">
        <v>74</v>
      </c>
      <c r="C153" s="34" t="s">
        <v>67</v>
      </c>
      <c r="D153" s="34" t="s">
        <v>65</v>
      </c>
      <c r="E153" s="34" t="s">
        <v>72</v>
      </c>
      <c r="F153" s="35">
        <v>74615</v>
      </c>
      <c r="G153" s="35">
        <v>2327</v>
      </c>
      <c r="H153" s="36">
        <v>3.1199999999999999E-2</v>
      </c>
      <c r="I153" s="37">
        <v>1.1000000000000001</v>
      </c>
      <c r="J153" s="37">
        <v>2559.6999999999998</v>
      </c>
      <c r="K153" s="35">
        <v>129</v>
      </c>
      <c r="L153" s="37">
        <v>19.84</v>
      </c>
      <c r="M153" s="37">
        <v>25496.94</v>
      </c>
      <c r="N153" s="38">
        <v>9.9600000000000009</v>
      </c>
    </row>
    <row r="154" spans="1:14" x14ac:dyDescent="0.3">
      <c r="A154" s="33">
        <v>45641</v>
      </c>
      <c r="B154" s="34" t="s">
        <v>60</v>
      </c>
      <c r="C154" s="34" t="s">
        <v>61</v>
      </c>
      <c r="D154" s="34" t="s">
        <v>65</v>
      </c>
      <c r="E154" s="34" t="s">
        <v>73</v>
      </c>
      <c r="F154" s="35">
        <v>176790</v>
      </c>
      <c r="G154" s="35">
        <v>4490</v>
      </c>
      <c r="H154" s="36">
        <v>2.5399999999999999E-2</v>
      </c>
      <c r="I154" s="37">
        <v>1.49</v>
      </c>
      <c r="J154" s="37">
        <v>6690.1</v>
      </c>
      <c r="K154" s="35">
        <v>250</v>
      </c>
      <c r="L154" s="37">
        <v>26.76</v>
      </c>
      <c r="M154" s="37">
        <v>74442.63</v>
      </c>
      <c r="N154" s="38">
        <v>11.13</v>
      </c>
    </row>
    <row r="155" spans="1:14" x14ac:dyDescent="0.3">
      <c r="A155" s="33">
        <v>45594</v>
      </c>
      <c r="B155" s="34" t="s">
        <v>60</v>
      </c>
      <c r="C155" s="34" t="s">
        <v>70</v>
      </c>
      <c r="D155" s="34" t="s">
        <v>62</v>
      </c>
      <c r="E155" s="34" t="s">
        <v>72</v>
      </c>
      <c r="F155" s="35">
        <v>60077</v>
      </c>
      <c r="G155" s="35">
        <v>1994</v>
      </c>
      <c r="H155" s="36">
        <v>3.32E-2</v>
      </c>
      <c r="I155" s="37">
        <v>3.11</v>
      </c>
      <c r="J155" s="37">
        <v>6201.34</v>
      </c>
      <c r="K155" s="35">
        <v>28</v>
      </c>
      <c r="L155" s="37">
        <v>221.48</v>
      </c>
      <c r="M155" s="37">
        <v>7635.29</v>
      </c>
      <c r="N155" s="38">
        <v>1.23</v>
      </c>
    </row>
    <row r="156" spans="1:14" x14ac:dyDescent="0.3">
      <c r="A156" s="33">
        <v>45382</v>
      </c>
      <c r="B156" s="34" t="s">
        <v>74</v>
      </c>
      <c r="C156" s="34" t="s">
        <v>75</v>
      </c>
      <c r="D156" s="34" t="s">
        <v>62</v>
      </c>
      <c r="E156" s="34" t="s">
        <v>73</v>
      </c>
      <c r="F156" s="35">
        <v>151295</v>
      </c>
      <c r="G156" s="35">
        <v>2163</v>
      </c>
      <c r="H156" s="36">
        <v>1.43E-2</v>
      </c>
      <c r="I156" s="37">
        <v>1.58</v>
      </c>
      <c r="J156" s="37">
        <v>3417.54</v>
      </c>
      <c r="K156" s="35">
        <v>85</v>
      </c>
      <c r="L156" s="37">
        <v>40.21</v>
      </c>
      <c r="M156" s="37">
        <v>3173.67</v>
      </c>
      <c r="N156" s="38">
        <v>0.93</v>
      </c>
    </row>
    <row r="157" spans="1:14" x14ac:dyDescent="0.3">
      <c r="A157" s="33">
        <v>45401</v>
      </c>
      <c r="B157" s="34" t="s">
        <v>64</v>
      </c>
      <c r="C157" s="34" t="s">
        <v>75</v>
      </c>
      <c r="D157" s="34" t="s">
        <v>76</v>
      </c>
      <c r="E157" s="34" t="s">
        <v>73</v>
      </c>
      <c r="F157" s="35">
        <v>20282</v>
      </c>
      <c r="G157" s="35">
        <v>1740</v>
      </c>
      <c r="H157" s="36">
        <v>8.5800000000000001E-2</v>
      </c>
      <c r="I157" s="37">
        <v>1.25</v>
      </c>
      <c r="J157" s="37">
        <v>2175</v>
      </c>
      <c r="K157" s="35">
        <v>94</v>
      </c>
      <c r="L157" s="37">
        <v>23.14</v>
      </c>
      <c r="M157" s="37">
        <v>14237</v>
      </c>
      <c r="N157" s="38">
        <v>6.55</v>
      </c>
    </row>
    <row r="158" spans="1:14" x14ac:dyDescent="0.3">
      <c r="A158" s="33">
        <v>45577</v>
      </c>
      <c r="B158" s="34" t="s">
        <v>60</v>
      </c>
      <c r="C158" s="34" t="s">
        <v>61</v>
      </c>
      <c r="D158" s="34" t="s">
        <v>68</v>
      </c>
      <c r="E158" s="34" t="s">
        <v>72</v>
      </c>
      <c r="F158" s="35">
        <v>185488</v>
      </c>
      <c r="G158" s="35">
        <v>3950</v>
      </c>
      <c r="H158" s="36">
        <v>2.1299999999999999E-2</v>
      </c>
      <c r="I158" s="37">
        <v>1.39</v>
      </c>
      <c r="J158" s="37">
        <v>5490.5</v>
      </c>
      <c r="K158" s="35">
        <v>289</v>
      </c>
      <c r="L158" s="37">
        <v>19</v>
      </c>
      <c r="M158" s="37">
        <v>75172.149999999994</v>
      </c>
      <c r="N158" s="38">
        <v>13.69</v>
      </c>
    </row>
    <row r="159" spans="1:14" x14ac:dyDescent="0.3">
      <c r="A159" s="33">
        <v>45546</v>
      </c>
      <c r="B159" s="34" t="s">
        <v>74</v>
      </c>
      <c r="C159" s="34" t="s">
        <v>75</v>
      </c>
      <c r="D159" s="34" t="s">
        <v>76</v>
      </c>
      <c r="E159" s="34" t="s">
        <v>78</v>
      </c>
      <c r="F159" s="35">
        <v>28567</v>
      </c>
      <c r="G159" s="35">
        <v>999</v>
      </c>
      <c r="H159" s="36">
        <v>3.5000000000000003E-2</v>
      </c>
      <c r="I159" s="37">
        <v>1.69</v>
      </c>
      <c r="J159" s="37">
        <v>1688.31</v>
      </c>
      <c r="K159" s="35">
        <v>68</v>
      </c>
      <c r="L159" s="37">
        <v>24.83</v>
      </c>
      <c r="M159" s="37">
        <v>13037.25</v>
      </c>
      <c r="N159" s="38">
        <v>7.72</v>
      </c>
    </row>
    <row r="160" spans="1:14" x14ac:dyDescent="0.3">
      <c r="A160" s="33">
        <v>45615</v>
      </c>
      <c r="B160" s="34" t="s">
        <v>60</v>
      </c>
      <c r="C160" s="34" t="s">
        <v>61</v>
      </c>
      <c r="D160" s="34" t="s">
        <v>76</v>
      </c>
      <c r="E160" s="34" t="s">
        <v>63</v>
      </c>
      <c r="F160" s="35">
        <v>96170</v>
      </c>
      <c r="G160" s="35">
        <v>5145</v>
      </c>
      <c r="H160" s="36">
        <v>5.3499999999999999E-2</v>
      </c>
      <c r="I160" s="37">
        <v>2.12</v>
      </c>
      <c r="J160" s="37">
        <v>10907.4</v>
      </c>
      <c r="K160" s="35">
        <v>268</v>
      </c>
      <c r="L160" s="37">
        <v>40.700000000000003</v>
      </c>
      <c r="M160" s="37">
        <v>72622.990000000005</v>
      </c>
      <c r="N160" s="38">
        <v>6.66</v>
      </c>
    </row>
    <row r="161" spans="1:14" x14ac:dyDescent="0.3">
      <c r="A161" s="33">
        <v>45329</v>
      </c>
      <c r="B161" s="34" t="s">
        <v>74</v>
      </c>
      <c r="C161" s="34" t="s">
        <v>70</v>
      </c>
      <c r="D161" s="34" t="s">
        <v>68</v>
      </c>
      <c r="E161" s="34" t="s">
        <v>73</v>
      </c>
      <c r="F161" s="35">
        <v>101019</v>
      </c>
      <c r="G161" s="35">
        <v>2515</v>
      </c>
      <c r="H161" s="36">
        <v>2.4899999999999999E-2</v>
      </c>
      <c r="I161" s="37">
        <v>1.69</v>
      </c>
      <c r="J161" s="37">
        <v>4250.3500000000004</v>
      </c>
      <c r="K161" s="35">
        <v>72</v>
      </c>
      <c r="L161" s="37">
        <v>59.03</v>
      </c>
      <c r="M161" s="37">
        <v>11353.12</v>
      </c>
      <c r="N161" s="38">
        <v>2.67</v>
      </c>
    </row>
    <row r="162" spans="1:14" x14ac:dyDescent="0.3">
      <c r="A162" s="33">
        <v>45352</v>
      </c>
      <c r="B162" s="34" t="s">
        <v>64</v>
      </c>
      <c r="C162" s="34" t="s">
        <v>70</v>
      </c>
      <c r="D162" s="34" t="s">
        <v>76</v>
      </c>
      <c r="E162" s="34" t="s">
        <v>66</v>
      </c>
      <c r="F162" s="35">
        <v>91795</v>
      </c>
      <c r="G162" s="35">
        <v>3800</v>
      </c>
      <c r="H162" s="36">
        <v>4.1399999999999999E-2</v>
      </c>
      <c r="I162" s="37">
        <v>1.22</v>
      </c>
      <c r="J162" s="37">
        <v>4636</v>
      </c>
      <c r="K162" s="35">
        <v>157</v>
      </c>
      <c r="L162" s="37">
        <v>29.53</v>
      </c>
      <c r="M162" s="37">
        <v>24815.09</v>
      </c>
      <c r="N162" s="38">
        <v>5.35</v>
      </c>
    </row>
    <row r="163" spans="1:14" x14ac:dyDescent="0.3">
      <c r="A163" s="33">
        <v>45481</v>
      </c>
      <c r="B163" s="34" t="s">
        <v>74</v>
      </c>
      <c r="C163" s="34" t="s">
        <v>61</v>
      </c>
      <c r="D163" s="34" t="s">
        <v>76</v>
      </c>
      <c r="E163" s="34" t="s">
        <v>77</v>
      </c>
      <c r="F163" s="35">
        <v>22543</v>
      </c>
      <c r="G163" s="35">
        <v>333</v>
      </c>
      <c r="H163" s="36">
        <v>1.4800000000000001E-2</v>
      </c>
      <c r="I163" s="37">
        <v>1.49</v>
      </c>
      <c r="J163" s="37">
        <v>496.17</v>
      </c>
      <c r="K163" s="35">
        <v>12</v>
      </c>
      <c r="L163" s="37">
        <v>41.35</v>
      </c>
      <c r="M163" s="37">
        <v>642.17999999999995</v>
      </c>
      <c r="N163" s="38">
        <v>1.29</v>
      </c>
    </row>
    <row r="164" spans="1:14" x14ac:dyDescent="0.3">
      <c r="A164" s="33">
        <v>45350</v>
      </c>
      <c r="B164" s="34" t="s">
        <v>74</v>
      </c>
      <c r="C164" s="34" t="s">
        <v>70</v>
      </c>
      <c r="D164" s="34" t="s">
        <v>68</v>
      </c>
      <c r="E164" s="34" t="s">
        <v>73</v>
      </c>
      <c r="F164" s="35">
        <v>119598</v>
      </c>
      <c r="G164" s="35">
        <v>1064</v>
      </c>
      <c r="H164" s="36">
        <v>8.8999999999999999E-3</v>
      </c>
      <c r="I164" s="37">
        <v>2</v>
      </c>
      <c r="J164" s="37">
        <v>2128</v>
      </c>
      <c r="K164" s="35">
        <v>64</v>
      </c>
      <c r="L164" s="37">
        <v>33.25</v>
      </c>
      <c r="M164" s="37">
        <v>17165.43</v>
      </c>
      <c r="N164" s="38">
        <v>8.07</v>
      </c>
    </row>
    <row r="165" spans="1:14" x14ac:dyDescent="0.3">
      <c r="A165" s="33">
        <v>45531</v>
      </c>
      <c r="B165" s="34" t="s">
        <v>74</v>
      </c>
      <c r="C165" s="34" t="s">
        <v>61</v>
      </c>
      <c r="D165" s="34" t="s">
        <v>65</v>
      </c>
      <c r="E165" s="34" t="s">
        <v>63</v>
      </c>
      <c r="F165" s="35">
        <v>158504</v>
      </c>
      <c r="G165" s="35">
        <v>4897</v>
      </c>
      <c r="H165" s="36">
        <v>3.09E-2</v>
      </c>
      <c r="I165" s="37">
        <v>0.43</v>
      </c>
      <c r="J165" s="37">
        <v>2105.71</v>
      </c>
      <c r="K165" s="35">
        <v>255</v>
      </c>
      <c r="L165" s="37">
        <v>8.26</v>
      </c>
      <c r="M165" s="37">
        <v>54921.72</v>
      </c>
      <c r="N165" s="38">
        <v>26.08</v>
      </c>
    </row>
    <row r="166" spans="1:14" x14ac:dyDescent="0.3">
      <c r="A166" s="33">
        <v>45373</v>
      </c>
      <c r="B166" s="34" t="s">
        <v>60</v>
      </c>
      <c r="C166" s="34" t="s">
        <v>75</v>
      </c>
      <c r="D166" s="34" t="s">
        <v>76</v>
      </c>
      <c r="E166" s="34" t="s">
        <v>78</v>
      </c>
      <c r="F166" s="35">
        <v>39542</v>
      </c>
      <c r="G166" s="35">
        <v>1209</v>
      </c>
      <c r="H166" s="36">
        <v>3.0599999999999999E-2</v>
      </c>
      <c r="I166" s="37">
        <v>1.85</v>
      </c>
      <c r="J166" s="37">
        <v>2236.65</v>
      </c>
      <c r="K166" s="35">
        <v>42</v>
      </c>
      <c r="L166" s="37">
        <v>53.25</v>
      </c>
      <c r="M166" s="37">
        <v>7992.11</v>
      </c>
      <c r="N166" s="38">
        <v>3.57</v>
      </c>
    </row>
    <row r="167" spans="1:14" x14ac:dyDescent="0.3">
      <c r="A167" s="33">
        <v>45492</v>
      </c>
      <c r="B167" s="34" t="s">
        <v>60</v>
      </c>
      <c r="C167" s="34" t="s">
        <v>75</v>
      </c>
      <c r="D167" s="34" t="s">
        <v>62</v>
      </c>
      <c r="E167" s="34" t="s">
        <v>77</v>
      </c>
      <c r="F167" s="35">
        <v>110848</v>
      </c>
      <c r="G167" s="35">
        <v>3181</v>
      </c>
      <c r="H167" s="36">
        <v>2.87E-2</v>
      </c>
      <c r="I167" s="37">
        <v>2.4500000000000002</v>
      </c>
      <c r="J167" s="37">
        <v>7793.45</v>
      </c>
      <c r="K167" s="35">
        <v>186</v>
      </c>
      <c r="L167" s="37">
        <v>41.9</v>
      </c>
      <c r="M167" s="37">
        <v>32321.78</v>
      </c>
      <c r="N167" s="38">
        <v>4.1500000000000004</v>
      </c>
    </row>
    <row r="168" spans="1:14" x14ac:dyDescent="0.3">
      <c r="A168" s="33">
        <v>45648</v>
      </c>
      <c r="B168" s="34" t="s">
        <v>74</v>
      </c>
      <c r="C168" s="34" t="s">
        <v>67</v>
      </c>
      <c r="D168" s="34" t="s">
        <v>68</v>
      </c>
      <c r="E168" s="34" t="s">
        <v>78</v>
      </c>
      <c r="F168" s="35">
        <v>79964</v>
      </c>
      <c r="G168" s="35">
        <v>1487</v>
      </c>
      <c r="H168" s="36">
        <v>1.8599999999999998E-2</v>
      </c>
      <c r="I168" s="37">
        <v>1.07</v>
      </c>
      <c r="J168" s="37">
        <v>1591.09</v>
      </c>
      <c r="K168" s="35">
        <v>22</v>
      </c>
      <c r="L168" s="37">
        <v>72.319999999999993</v>
      </c>
      <c r="M168" s="37">
        <v>3882.65</v>
      </c>
      <c r="N168" s="38">
        <v>2.44</v>
      </c>
    </row>
    <row r="169" spans="1:14" x14ac:dyDescent="0.3">
      <c r="A169" s="33">
        <v>45645</v>
      </c>
      <c r="B169" s="34" t="s">
        <v>64</v>
      </c>
      <c r="C169" s="34" t="s">
        <v>75</v>
      </c>
      <c r="D169" s="34" t="s">
        <v>65</v>
      </c>
      <c r="E169" s="34" t="s">
        <v>72</v>
      </c>
      <c r="F169" s="35">
        <v>105127</v>
      </c>
      <c r="G169" s="35">
        <v>7747</v>
      </c>
      <c r="H169" s="36">
        <v>7.3700000000000002E-2</v>
      </c>
      <c r="I169" s="37">
        <v>0.88</v>
      </c>
      <c r="J169" s="37">
        <v>6817.36</v>
      </c>
      <c r="K169" s="35">
        <v>460</v>
      </c>
      <c r="L169" s="37">
        <v>14.82</v>
      </c>
      <c r="M169" s="37">
        <v>99299.9</v>
      </c>
      <c r="N169" s="38">
        <v>14.57</v>
      </c>
    </row>
    <row r="170" spans="1:14" x14ac:dyDescent="0.3">
      <c r="A170" s="33">
        <v>45298</v>
      </c>
      <c r="B170" s="34" t="s">
        <v>60</v>
      </c>
      <c r="C170" s="34" t="s">
        <v>70</v>
      </c>
      <c r="D170" s="34" t="s">
        <v>65</v>
      </c>
      <c r="E170" s="34" t="s">
        <v>63</v>
      </c>
      <c r="F170" s="35">
        <v>73803</v>
      </c>
      <c r="G170" s="35">
        <v>1505</v>
      </c>
      <c r="H170" s="36">
        <v>2.0400000000000001E-2</v>
      </c>
      <c r="I170" s="37">
        <v>2.12</v>
      </c>
      <c r="J170" s="37">
        <v>3190.6</v>
      </c>
      <c r="K170" s="35">
        <v>98</v>
      </c>
      <c r="L170" s="37">
        <v>32.56</v>
      </c>
      <c r="M170" s="37">
        <v>18709.86</v>
      </c>
      <c r="N170" s="38">
        <v>5.86</v>
      </c>
    </row>
    <row r="171" spans="1:14" x14ac:dyDescent="0.3">
      <c r="A171" s="33">
        <v>45467</v>
      </c>
      <c r="B171" s="34" t="s">
        <v>60</v>
      </c>
      <c r="C171" s="34" t="s">
        <v>70</v>
      </c>
      <c r="D171" s="34" t="s">
        <v>68</v>
      </c>
      <c r="E171" s="34" t="s">
        <v>66</v>
      </c>
      <c r="F171" s="35">
        <v>96575</v>
      </c>
      <c r="G171" s="35">
        <v>4925</v>
      </c>
      <c r="H171" s="36">
        <v>5.0999999999999997E-2</v>
      </c>
      <c r="I171" s="37">
        <v>2.4</v>
      </c>
      <c r="J171" s="37">
        <v>11820</v>
      </c>
      <c r="K171" s="35">
        <v>181</v>
      </c>
      <c r="L171" s="37">
        <v>65.3</v>
      </c>
      <c r="M171" s="37">
        <v>7335.74</v>
      </c>
      <c r="N171" s="38">
        <v>0.62</v>
      </c>
    </row>
    <row r="172" spans="1:14" x14ac:dyDescent="0.3">
      <c r="A172" s="33">
        <v>45342</v>
      </c>
      <c r="B172" s="34" t="s">
        <v>60</v>
      </c>
      <c r="C172" s="34" t="s">
        <v>70</v>
      </c>
      <c r="D172" s="34" t="s">
        <v>62</v>
      </c>
      <c r="E172" s="34" t="s">
        <v>66</v>
      </c>
      <c r="F172" s="35">
        <v>162489</v>
      </c>
      <c r="G172" s="35">
        <v>4500</v>
      </c>
      <c r="H172" s="36">
        <v>2.7699999999999999E-2</v>
      </c>
      <c r="I172" s="37">
        <v>3.03</v>
      </c>
      <c r="J172" s="37">
        <v>13635</v>
      </c>
      <c r="K172" s="35">
        <v>184</v>
      </c>
      <c r="L172" s="37">
        <v>74.099999999999994</v>
      </c>
      <c r="M172" s="37">
        <v>54944.54</v>
      </c>
      <c r="N172" s="38">
        <v>4.03</v>
      </c>
    </row>
    <row r="173" spans="1:14" x14ac:dyDescent="0.3">
      <c r="A173" s="33">
        <v>45417</v>
      </c>
      <c r="B173" s="34" t="s">
        <v>74</v>
      </c>
      <c r="C173" s="34" t="s">
        <v>61</v>
      </c>
      <c r="D173" s="34" t="s">
        <v>68</v>
      </c>
      <c r="E173" s="34" t="s">
        <v>73</v>
      </c>
      <c r="F173" s="35">
        <v>76155</v>
      </c>
      <c r="G173" s="35">
        <v>3548</v>
      </c>
      <c r="H173" s="36">
        <v>4.6600000000000003E-2</v>
      </c>
      <c r="I173" s="37">
        <v>1.25</v>
      </c>
      <c r="J173" s="37">
        <v>4435</v>
      </c>
      <c r="K173" s="35">
        <v>243</v>
      </c>
      <c r="L173" s="37">
        <v>18.25</v>
      </c>
      <c r="M173" s="37">
        <v>30659.34</v>
      </c>
      <c r="N173" s="38">
        <v>6.91</v>
      </c>
    </row>
    <row r="174" spans="1:14" x14ac:dyDescent="0.3">
      <c r="A174" s="33">
        <v>45632</v>
      </c>
      <c r="B174" s="34" t="s">
        <v>64</v>
      </c>
      <c r="C174" s="34" t="s">
        <v>61</v>
      </c>
      <c r="D174" s="34" t="s">
        <v>62</v>
      </c>
      <c r="E174" s="34" t="s">
        <v>66</v>
      </c>
      <c r="F174" s="35">
        <v>180021</v>
      </c>
      <c r="G174" s="35">
        <v>13105</v>
      </c>
      <c r="H174" s="36">
        <v>7.2800000000000004E-2</v>
      </c>
      <c r="I174" s="37">
        <v>1.61</v>
      </c>
      <c r="J174" s="37">
        <v>21099.05</v>
      </c>
      <c r="K174" s="35">
        <v>880</v>
      </c>
      <c r="L174" s="37">
        <v>23.98</v>
      </c>
      <c r="M174" s="37">
        <v>75656.62</v>
      </c>
      <c r="N174" s="38">
        <v>3.59</v>
      </c>
    </row>
    <row r="175" spans="1:14" x14ac:dyDescent="0.3">
      <c r="A175" s="33">
        <v>45395</v>
      </c>
      <c r="B175" s="34" t="s">
        <v>64</v>
      </c>
      <c r="C175" s="34" t="s">
        <v>67</v>
      </c>
      <c r="D175" s="34" t="s">
        <v>65</v>
      </c>
      <c r="E175" s="34" t="s">
        <v>66</v>
      </c>
      <c r="F175" s="35">
        <v>79965</v>
      </c>
      <c r="G175" s="35">
        <v>3070</v>
      </c>
      <c r="H175" s="36">
        <v>3.8399999999999997E-2</v>
      </c>
      <c r="I175" s="37">
        <v>1.02</v>
      </c>
      <c r="J175" s="37">
        <v>3131.4</v>
      </c>
      <c r="K175" s="35">
        <v>237</v>
      </c>
      <c r="L175" s="37">
        <v>13.21</v>
      </c>
      <c r="M175" s="37">
        <v>65306</v>
      </c>
      <c r="N175" s="38">
        <v>20.86</v>
      </c>
    </row>
    <row r="176" spans="1:14" x14ac:dyDescent="0.3">
      <c r="A176" s="33">
        <v>45440</v>
      </c>
      <c r="B176" s="34" t="s">
        <v>74</v>
      </c>
      <c r="C176" s="34" t="s">
        <v>61</v>
      </c>
      <c r="D176" s="34" t="s">
        <v>65</v>
      </c>
      <c r="E176" s="34" t="s">
        <v>77</v>
      </c>
      <c r="F176" s="35">
        <v>49789</v>
      </c>
      <c r="G176" s="35">
        <v>622</v>
      </c>
      <c r="H176" s="36">
        <v>1.2500000000000001E-2</v>
      </c>
      <c r="I176" s="37">
        <v>2.08</v>
      </c>
      <c r="J176" s="37">
        <v>1293.76</v>
      </c>
      <c r="K176" s="35">
        <v>48</v>
      </c>
      <c r="L176" s="37">
        <v>26.95</v>
      </c>
      <c r="M176" s="37">
        <v>7704.96</v>
      </c>
      <c r="N176" s="38">
        <v>5.96</v>
      </c>
    </row>
    <row r="177" spans="1:14" x14ac:dyDescent="0.3">
      <c r="A177" s="33">
        <v>45393</v>
      </c>
      <c r="B177" s="34" t="s">
        <v>64</v>
      </c>
      <c r="C177" s="34" t="s">
        <v>67</v>
      </c>
      <c r="D177" s="34" t="s">
        <v>71</v>
      </c>
      <c r="E177" s="34" t="s">
        <v>72</v>
      </c>
      <c r="F177" s="35">
        <v>195026</v>
      </c>
      <c r="G177" s="35">
        <v>9653</v>
      </c>
      <c r="H177" s="36">
        <v>4.9500000000000002E-2</v>
      </c>
      <c r="I177" s="37">
        <v>1.83</v>
      </c>
      <c r="J177" s="37">
        <v>17664.990000000002</v>
      </c>
      <c r="K177" s="35">
        <v>371</v>
      </c>
      <c r="L177" s="37">
        <v>47.61</v>
      </c>
      <c r="M177" s="37">
        <v>94022.57</v>
      </c>
      <c r="N177" s="38">
        <v>5.32</v>
      </c>
    </row>
    <row r="178" spans="1:14" x14ac:dyDescent="0.3">
      <c r="A178" s="33">
        <v>45339</v>
      </c>
      <c r="B178" s="34" t="s">
        <v>64</v>
      </c>
      <c r="C178" s="34" t="s">
        <v>70</v>
      </c>
      <c r="D178" s="34" t="s">
        <v>68</v>
      </c>
      <c r="E178" s="34" t="s">
        <v>73</v>
      </c>
      <c r="F178" s="35">
        <v>130438</v>
      </c>
      <c r="G178" s="35">
        <v>7721</v>
      </c>
      <c r="H178" s="36">
        <v>5.9200000000000003E-2</v>
      </c>
      <c r="I178" s="37">
        <v>1.6</v>
      </c>
      <c r="J178" s="37">
        <v>12353.6</v>
      </c>
      <c r="K178" s="35">
        <v>353</v>
      </c>
      <c r="L178" s="37">
        <v>35</v>
      </c>
      <c r="M178" s="37">
        <v>70310.53</v>
      </c>
      <c r="N178" s="38">
        <v>5.69</v>
      </c>
    </row>
    <row r="179" spans="1:14" x14ac:dyDescent="0.3">
      <c r="A179" s="33">
        <v>45640</v>
      </c>
      <c r="B179" s="34" t="s">
        <v>64</v>
      </c>
      <c r="C179" s="34" t="s">
        <v>70</v>
      </c>
      <c r="D179" s="34" t="s">
        <v>71</v>
      </c>
      <c r="E179" s="34" t="s">
        <v>77</v>
      </c>
      <c r="F179" s="35">
        <v>141917</v>
      </c>
      <c r="G179" s="35">
        <v>4796</v>
      </c>
      <c r="H179" s="36">
        <v>3.3799999999999997E-2</v>
      </c>
      <c r="I179" s="37">
        <v>0.66</v>
      </c>
      <c r="J179" s="37">
        <v>3165.36</v>
      </c>
      <c r="K179" s="35">
        <v>369</v>
      </c>
      <c r="L179" s="37">
        <v>8.58</v>
      </c>
      <c r="M179" s="37">
        <v>11953.05</v>
      </c>
      <c r="N179" s="38">
        <v>3.78</v>
      </c>
    </row>
    <row r="180" spans="1:14" x14ac:dyDescent="0.3">
      <c r="A180" s="33">
        <v>45618</v>
      </c>
      <c r="B180" s="34" t="s">
        <v>64</v>
      </c>
      <c r="C180" s="34" t="s">
        <v>70</v>
      </c>
      <c r="D180" s="34" t="s">
        <v>71</v>
      </c>
      <c r="E180" s="34" t="s">
        <v>69</v>
      </c>
      <c r="F180" s="35">
        <v>146958</v>
      </c>
      <c r="G180" s="35">
        <v>7494</v>
      </c>
      <c r="H180" s="36">
        <v>5.0999999999999997E-2</v>
      </c>
      <c r="I180" s="37">
        <v>1.68</v>
      </c>
      <c r="J180" s="37">
        <v>12589.92</v>
      </c>
      <c r="K180" s="35">
        <v>538</v>
      </c>
      <c r="L180" s="37">
        <v>23.4</v>
      </c>
      <c r="M180" s="37">
        <v>117826.98</v>
      </c>
      <c r="N180" s="38">
        <v>9.36</v>
      </c>
    </row>
    <row r="181" spans="1:14" x14ac:dyDescent="0.3">
      <c r="A181" s="33">
        <v>45551</v>
      </c>
      <c r="B181" s="34" t="s">
        <v>60</v>
      </c>
      <c r="C181" s="34" t="s">
        <v>67</v>
      </c>
      <c r="D181" s="34" t="s">
        <v>76</v>
      </c>
      <c r="E181" s="34" t="s">
        <v>66</v>
      </c>
      <c r="F181" s="35">
        <v>13605</v>
      </c>
      <c r="G181" s="35">
        <v>300</v>
      </c>
      <c r="H181" s="36">
        <v>2.2100000000000002E-2</v>
      </c>
      <c r="I181" s="37">
        <v>2.08</v>
      </c>
      <c r="J181" s="37">
        <v>624</v>
      </c>
      <c r="K181" s="35">
        <v>21</v>
      </c>
      <c r="L181" s="37">
        <v>29.71</v>
      </c>
      <c r="M181" s="37">
        <v>4495.51</v>
      </c>
      <c r="N181" s="38">
        <v>7.2</v>
      </c>
    </row>
    <row r="182" spans="1:14" x14ac:dyDescent="0.3">
      <c r="A182" s="33">
        <v>45435</v>
      </c>
      <c r="B182" s="34" t="s">
        <v>60</v>
      </c>
      <c r="C182" s="34" t="s">
        <v>75</v>
      </c>
      <c r="D182" s="34" t="s">
        <v>71</v>
      </c>
      <c r="E182" s="34" t="s">
        <v>72</v>
      </c>
      <c r="F182" s="35">
        <v>116041</v>
      </c>
      <c r="G182" s="35">
        <v>6428</v>
      </c>
      <c r="H182" s="36">
        <v>5.5399999999999998E-2</v>
      </c>
      <c r="I182" s="37">
        <v>1.75</v>
      </c>
      <c r="J182" s="37">
        <v>11249</v>
      </c>
      <c r="K182" s="35">
        <v>74</v>
      </c>
      <c r="L182" s="37">
        <v>152.01</v>
      </c>
      <c r="M182" s="37">
        <v>13873.48</v>
      </c>
      <c r="N182" s="38">
        <v>1.23</v>
      </c>
    </row>
    <row r="183" spans="1:14" x14ac:dyDescent="0.3">
      <c r="A183" s="33">
        <v>45560</v>
      </c>
      <c r="B183" s="34" t="s">
        <v>64</v>
      </c>
      <c r="C183" s="34" t="s">
        <v>61</v>
      </c>
      <c r="D183" s="34" t="s">
        <v>76</v>
      </c>
      <c r="E183" s="34" t="s">
        <v>77</v>
      </c>
      <c r="F183" s="35">
        <v>170396</v>
      </c>
      <c r="G183" s="35">
        <v>10138</v>
      </c>
      <c r="H183" s="36">
        <v>5.9499999999999997E-2</v>
      </c>
      <c r="I183" s="37">
        <v>1.08</v>
      </c>
      <c r="J183" s="37">
        <v>10949.04</v>
      </c>
      <c r="K183" s="35">
        <v>494</v>
      </c>
      <c r="L183" s="37">
        <v>22.16</v>
      </c>
      <c r="M183" s="37">
        <v>99795.18</v>
      </c>
      <c r="N183" s="38">
        <v>9.11</v>
      </c>
    </row>
    <row r="184" spans="1:14" x14ac:dyDescent="0.3">
      <c r="A184" s="33">
        <v>45344</v>
      </c>
      <c r="B184" s="34" t="s">
        <v>74</v>
      </c>
      <c r="C184" s="34" t="s">
        <v>75</v>
      </c>
      <c r="D184" s="34" t="s">
        <v>65</v>
      </c>
      <c r="E184" s="34" t="s">
        <v>77</v>
      </c>
      <c r="F184" s="35">
        <v>19743</v>
      </c>
      <c r="G184" s="35">
        <v>619</v>
      </c>
      <c r="H184" s="36">
        <v>3.1399999999999997E-2</v>
      </c>
      <c r="I184" s="37">
        <v>1.25</v>
      </c>
      <c r="J184" s="37">
        <v>773.75</v>
      </c>
      <c r="K184" s="35">
        <v>41</v>
      </c>
      <c r="L184" s="37">
        <v>18.87</v>
      </c>
      <c r="M184" s="37">
        <v>9219.4599999999991</v>
      </c>
      <c r="N184" s="38">
        <v>11.92</v>
      </c>
    </row>
    <row r="185" spans="1:14" x14ac:dyDescent="0.3">
      <c r="A185" s="33">
        <v>45532</v>
      </c>
      <c r="B185" s="34" t="s">
        <v>60</v>
      </c>
      <c r="C185" s="34" t="s">
        <v>61</v>
      </c>
      <c r="D185" s="34" t="s">
        <v>76</v>
      </c>
      <c r="E185" s="34" t="s">
        <v>78</v>
      </c>
      <c r="F185" s="35">
        <v>94081</v>
      </c>
      <c r="G185" s="35">
        <v>5588</v>
      </c>
      <c r="H185" s="36">
        <v>5.9400000000000001E-2</v>
      </c>
      <c r="I185" s="37">
        <v>2.69</v>
      </c>
      <c r="J185" s="37">
        <v>15031.72</v>
      </c>
      <c r="K185" s="35">
        <v>88</v>
      </c>
      <c r="L185" s="37">
        <v>170.81</v>
      </c>
      <c r="M185" s="37">
        <v>24757.88</v>
      </c>
      <c r="N185" s="38">
        <v>1.65</v>
      </c>
    </row>
    <row r="186" spans="1:14" x14ac:dyDescent="0.3">
      <c r="A186" s="33">
        <v>45453</v>
      </c>
      <c r="B186" s="34" t="s">
        <v>64</v>
      </c>
      <c r="C186" s="34" t="s">
        <v>67</v>
      </c>
      <c r="D186" s="34" t="s">
        <v>62</v>
      </c>
      <c r="E186" s="34" t="s">
        <v>69</v>
      </c>
      <c r="F186" s="35">
        <v>141643</v>
      </c>
      <c r="G186" s="35">
        <v>8526</v>
      </c>
      <c r="H186" s="36">
        <v>6.0199999999999997E-2</v>
      </c>
      <c r="I186" s="37">
        <v>0.46</v>
      </c>
      <c r="J186" s="37">
        <v>3921.96</v>
      </c>
      <c r="K186" s="35">
        <v>379</v>
      </c>
      <c r="L186" s="37">
        <v>10.35</v>
      </c>
      <c r="M186" s="37">
        <v>51038.1</v>
      </c>
      <c r="N186" s="38">
        <v>13.01</v>
      </c>
    </row>
    <row r="187" spans="1:14" x14ac:dyDescent="0.3">
      <c r="A187" s="33">
        <v>45314</v>
      </c>
      <c r="B187" s="34" t="s">
        <v>74</v>
      </c>
      <c r="C187" s="34" t="s">
        <v>70</v>
      </c>
      <c r="D187" s="34" t="s">
        <v>71</v>
      </c>
      <c r="E187" s="34" t="s">
        <v>78</v>
      </c>
      <c r="F187" s="35">
        <v>90716</v>
      </c>
      <c r="G187" s="35">
        <v>3002</v>
      </c>
      <c r="H187" s="36">
        <v>3.3099999999999997E-2</v>
      </c>
      <c r="I187" s="37">
        <v>1.47</v>
      </c>
      <c r="J187" s="37">
        <v>4412.9399999999996</v>
      </c>
      <c r="K187" s="35">
        <v>194</v>
      </c>
      <c r="L187" s="37">
        <v>22.75</v>
      </c>
      <c r="M187" s="37">
        <v>39560.54</v>
      </c>
      <c r="N187" s="38">
        <v>8.9600000000000009</v>
      </c>
    </row>
    <row r="188" spans="1:14" x14ac:dyDescent="0.3">
      <c r="A188" s="33">
        <v>45646</v>
      </c>
      <c r="B188" s="34" t="s">
        <v>60</v>
      </c>
      <c r="C188" s="34" t="s">
        <v>61</v>
      </c>
      <c r="D188" s="34" t="s">
        <v>65</v>
      </c>
      <c r="E188" s="34" t="s">
        <v>69</v>
      </c>
      <c r="F188" s="35">
        <v>72055</v>
      </c>
      <c r="G188" s="35">
        <v>1678</v>
      </c>
      <c r="H188" s="36">
        <v>2.3300000000000001E-2</v>
      </c>
      <c r="I188" s="37">
        <v>3.17</v>
      </c>
      <c r="J188" s="37">
        <v>5319.26</v>
      </c>
      <c r="K188" s="35">
        <v>41</v>
      </c>
      <c r="L188" s="37">
        <v>129.74</v>
      </c>
      <c r="M188" s="37">
        <v>8506.9</v>
      </c>
      <c r="N188" s="38">
        <v>1.6</v>
      </c>
    </row>
    <row r="189" spans="1:14" x14ac:dyDescent="0.3">
      <c r="A189" s="33">
        <v>45400</v>
      </c>
      <c r="B189" s="34" t="s">
        <v>74</v>
      </c>
      <c r="C189" s="34" t="s">
        <v>70</v>
      </c>
      <c r="D189" s="34" t="s">
        <v>76</v>
      </c>
      <c r="E189" s="34" t="s">
        <v>72</v>
      </c>
      <c r="F189" s="35">
        <v>112692</v>
      </c>
      <c r="G189" s="35">
        <v>2096</v>
      </c>
      <c r="H189" s="36">
        <v>1.8599999999999998E-2</v>
      </c>
      <c r="I189" s="37">
        <v>2.27</v>
      </c>
      <c r="J189" s="37">
        <v>4757.92</v>
      </c>
      <c r="K189" s="35">
        <v>89</v>
      </c>
      <c r="L189" s="37">
        <v>53.46</v>
      </c>
      <c r="M189" s="37">
        <v>16587.580000000002</v>
      </c>
      <c r="N189" s="38">
        <v>3.49</v>
      </c>
    </row>
    <row r="190" spans="1:14" x14ac:dyDescent="0.3">
      <c r="A190" s="33">
        <v>45604</v>
      </c>
      <c r="B190" s="34" t="s">
        <v>60</v>
      </c>
      <c r="C190" s="34" t="s">
        <v>67</v>
      </c>
      <c r="D190" s="34" t="s">
        <v>62</v>
      </c>
      <c r="E190" s="34" t="s">
        <v>63</v>
      </c>
      <c r="F190" s="35">
        <v>31672</v>
      </c>
      <c r="G190" s="35">
        <v>877</v>
      </c>
      <c r="H190" s="36">
        <v>2.7699999999999999E-2</v>
      </c>
      <c r="I190" s="37">
        <v>0.72</v>
      </c>
      <c r="J190" s="37">
        <v>631.44000000000005</v>
      </c>
      <c r="K190" s="35">
        <v>16</v>
      </c>
      <c r="L190" s="37">
        <v>39.47</v>
      </c>
      <c r="M190" s="37">
        <v>2266.94</v>
      </c>
      <c r="N190" s="38">
        <v>3.59</v>
      </c>
    </row>
    <row r="191" spans="1:14" x14ac:dyDescent="0.3">
      <c r="A191" s="33">
        <v>45473</v>
      </c>
      <c r="B191" s="34" t="s">
        <v>74</v>
      </c>
      <c r="C191" s="34" t="s">
        <v>67</v>
      </c>
      <c r="D191" s="34" t="s">
        <v>76</v>
      </c>
      <c r="E191" s="34" t="s">
        <v>72</v>
      </c>
      <c r="F191" s="35">
        <v>59131</v>
      </c>
      <c r="G191" s="35">
        <v>1425</v>
      </c>
      <c r="H191" s="36">
        <v>2.41E-2</v>
      </c>
      <c r="I191" s="37">
        <v>1.04</v>
      </c>
      <c r="J191" s="37">
        <v>1482</v>
      </c>
      <c r="K191" s="35">
        <v>66</v>
      </c>
      <c r="L191" s="37">
        <v>22.45</v>
      </c>
      <c r="M191" s="37">
        <v>19372.57</v>
      </c>
      <c r="N191" s="38">
        <v>13.07</v>
      </c>
    </row>
    <row r="192" spans="1:14" x14ac:dyDescent="0.3">
      <c r="A192" s="33">
        <v>45466</v>
      </c>
      <c r="B192" s="34" t="s">
        <v>60</v>
      </c>
      <c r="C192" s="34" t="s">
        <v>61</v>
      </c>
      <c r="D192" s="34" t="s">
        <v>71</v>
      </c>
      <c r="E192" s="34" t="s">
        <v>73</v>
      </c>
      <c r="F192" s="35">
        <v>119397</v>
      </c>
      <c r="G192" s="35">
        <v>3868</v>
      </c>
      <c r="H192" s="36">
        <v>3.2399999999999998E-2</v>
      </c>
      <c r="I192" s="37">
        <v>1.8</v>
      </c>
      <c r="J192" s="37">
        <v>6962.4</v>
      </c>
      <c r="K192" s="35">
        <v>193</v>
      </c>
      <c r="L192" s="37">
        <v>36.07</v>
      </c>
      <c r="M192" s="37">
        <v>35393.300000000003</v>
      </c>
      <c r="N192" s="38">
        <v>5.08</v>
      </c>
    </row>
    <row r="193" spans="1:14" x14ac:dyDescent="0.3">
      <c r="A193" s="33">
        <v>45598</v>
      </c>
      <c r="B193" s="34" t="s">
        <v>74</v>
      </c>
      <c r="C193" s="34" t="s">
        <v>61</v>
      </c>
      <c r="D193" s="34" t="s">
        <v>65</v>
      </c>
      <c r="E193" s="34" t="s">
        <v>78</v>
      </c>
      <c r="F193" s="35">
        <v>157008</v>
      </c>
      <c r="G193" s="35">
        <v>5024</v>
      </c>
      <c r="H193" s="36">
        <v>3.2000000000000001E-2</v>
      </c>
      <c r="I193" s="37">
        <v>0.72</v>
      </c>
      <c r="J193" s="37">
        <v>3617.28</v>
      </c>
      <c r="K193" s="35">
        <v>379</v>
      </c>
      <c r="L193" s="37">
        <v>9.5399999999999991</v>
      </c>
      <c r="M193" s="37">
        <v>73104.850000000006</v>
      </c>
      <c r="N193" s="38">
        <v>20.21</v>
      </c>
    </row>
    <row r="194" spans="1:14" x14ac:dyDescent="0.3">
      <c r="A194" s="33">
        <v>45295</v>
      </c>
      <c r="B194" s="34" t="s">
        <v>74</v>
      </c>
      <c r="C194" s="34" t="s">
        <v>70</v>
      </c>
      <c r="D194" s="34" t="s">
        <v>65</v>
      </c>
      <c r="E194" s="34" t="s">
        <v>66</v>
      </c>
      <c r="F194" s="35">
        <v>117217</v>
      </c>
      <c r="G194" s="35">
        <v>2133</v>
      </c>
      <c r="H194" s="36">
        <v>1.8200000000000001E-2</v>
      </c>
      <c r="I194" s="37">
        <v>1.29</v>
      </c>
      <c r="J194" s="37">
        <v>2751.57</v>
      </c>
      <c r="K194" s="35">
        <v>129</v>
      </c>
      <c r="L194" s="37">
        <v>21.33</v>
      </c>
      <c r="M194" s="37">
        <v>25455.360000000001</v>
      </c>
      <c r="N194" s="38">
        <v>9.25</v>
      </c>
    </row>
    <row r="195" spans="1:14" x14ac:dyDescent="0.3">
      <c r="A195" s="33">
        <v>45592</v>
      </c>
      <c r="B195" s="34" t="s">
        <v>64</v>
      </c>
      <c r="C195" s="34" t="s">
        <v>61</v>
      </c>
      <c r="D195" s="34" t="s">
        <v>71</v>
      </c>
      <c r="E195" s="34" t="s">
        <v>73</v>
      </c>
      <c r="F195" s="35">
        <v>111956</v>
      </c>
      <c r="G195" s="35">
        <v>5911</v>
      </c>
      <c r="H195" s="36">
        <v>5.28E-2</v>
      </c>
      <c r="I195" s="37">
        <v>1.57</v>
      </c>
      <c r="J195" s="37">
        <v>9280.27</v>
      </c>
      <c r="K195" s="35">
        <v>253</v>
      </c>
      <c r="L195" s="37">
        <v>36.68</v>
      </c>
      <c r="M195" s="37">
        <v>68395.539999999994</v>
      </c>
      <c r="N195" s="38">
        <v>7.37</v>
      </c>
    </row>
    <row r="196" spans="1:14" x14ac:dyDescent="0.3">
      <c r="A196" s="33">
        <v>45296</v>
      </c>
      <c r="B196" s="34" t="s">
        <v>74</v>
      </c>
      <c r="C196" s="34" t="s">
        <v>75</v>
      </c>
      <c r="D196" s="34" t="s">
        <v>71</v>
      </c>
      <c r="E196" s="34" t="s">
        <v>69</v>
      </c>
      <c r="F196" s="35">
        <v>10939</v>
      </c>
      <c r="G196" s="35">
        <v>113</v>
      </c>
      <c r="H196" s="36">
        <v>1.04E-2</v>
      </c>
      <c r="I196" s="37">
        <v>1.18</v>
      </c>
      <c r="J196" s="37">
        <v>133.34</v>
      </c>
      <c r="K196" s="35">
        <v>6</v>
      </c>
      <c r="L196" s="37">
        <v>22.22</v>
      </c>
      <c r="M196" s="37">
        <v>1684.43</v>
      </c>
      <c r="N196" s="38">
        <v>12.63</v>
      </c>
    </row>
    <row r="197" spans="1:14" x14ac:dyDescent="0.3">
      <c r="A197" s="33">
        <v>45514</v>
      </c>
      <c r="B197" s="34" t="s">
        <v>64</v>
      </c>
      <c r="C197" s="34" t="s">
        <v>75</v>
      </c>
      <c r="D197" s="34" t="s">
        <v>71</v>
      </c>
      <c r="E197" s="34" t="s">
        <v>77</v>
      </c>
      <c r="F197" s="35">
        <v>72293</v>
      </c>
      <c r="G197" s="35">
        <v>4532</v>
      </c>
      <c r="H197" s="36">
        <v>6.2700000000000006E-2</v>
      </c>
      <c r="I197" s="37">
        <v>1.81</v>
      </c>
      <c r="J197" s="37">
        <v>8202.92</v>
      </c>
      <c r="K197" s="35">
        <v>169</v>
      </c>
      <c r="L197" s="37">
        <v>48.54</v>
      </c>
      <c r="M197" s="37">
        <v>35145.360000000001</v>
      </c>
      <c r="N197" s="38">
        <v>4.28</v>
      </c>
    </row>
    <row r="198" spans="1:14" x14ac:dyDescent="0.3">
      <c r="A198" s="33">
        <v>45339</v>
      </c>
      <c r="B198" s="34" t="s">
        <v>60</v>
      </c>
      <c r="C198" s="34" t="s">
        <v>70</v>
      </c>
      <c r="D198" s="34" t="s">
        <v>62</v>
      </c>
      <c r="E198" s="34" t="s">
        <v>72</v>
      </c>
      <c r="F198" s="35">
        <v>78402</v>
      </c>
      <c r="G198" s="35">
        <v>4531</v>
      </c>
      <c r="H198" s="36">
        <v>5.7799999999999997E-2</v>
      </c>
      <c r="I198" s="37">
        <v>2.75</v>
      </c>
      <c r="J198" s="37">
        <v>12460.25</v>
      </c>
      <c r="K198" s="35">
        <v>105</v>
      </c>
      <c r="L198" s="37">
        <v>118.67</v>
      </c>
      <c r="M198" s="37">
        <v>25620.07</v>
      </c>
      <c r="N198" s="38">
        <v>2.06</v>
      </c>
    </row>
    <row r="199" spans="1:14" x14ac:dyDescent="0.3">
      <c r="A199" s="33">
        <v>45590</v>
      </c>
      <c r="B199" s="34" t="s">
        <v>64</v>
      </c>
      <c r="C199" s="34" t="s">
        <v>75</v>
      </c>
      <c r="D199" s="34" t="s">
        <v>76</v>
      </c>
      <c r="E199" s="34" t="s">
        <v>73</v>
      </c>
      <c r="F199" s="35">
        <v>160892</v>
      </c>
      <c r="G199" s="35">
        <v>9122</v>
      </c>
      <c r="H199" s="36">
        <v>5.67E-2</v>
      </c>
      <c r="I199" s="37">
        <v>0.64</v>
      </c>
      <c r="J199" s="37">
        <v>5838.08</v>
      </c>
      <c r="K199" s="35">
        <v>590</v>
      </c>
      <c r="L199" s="37">
        <v>9.9</v>
      </c>
      <c r="M199" s="37">
        <v>170654.73</v>
      </c>
      <c r="N199" s="38">
        <v>29.23</v>
      </c>
    </row>
    <row r="200" spans="1:14" x14ac:dyDescent="0.3">
      <c r="A200" s="33">
        <v>45365</v>
      </c>
      <c r="B200" s="34" t="s">
        <v>64</v>
      </c>
      <c r="C200" s="34" t="s">
        <v>61</v>
      </c>
      <c r="D200" s="34" t="s">
        <v>65</v>
      </c>
      <c r="E200" s="34" t="s">
        <v>69</v>
      </c>
      <c r="F200" s="35">
        <v>154092</v>
      </c>
      <c r="G200" s="35">
        <v>8860</v>
      </c>
      <c r="H200" s="36">
        <v>5.7500000000000002E-2</v>
      </c>
      <c r="I200" s="37">
        <v>1.17</v>
      </c>
      <c r="J200" s="37">
        <v>10366.200000000001</v>
      </c>
      <c r="K200" s="35">
        <v>246</v>
      </c>
      <c r="L200" s="37">
        <v>42.14</v>
      </c>
      <c r="M200" s="37">
        <v>23706.53</v>
      </c>
      <c r="N200" s="38">
        <v>2.29</v>
      </c>
    </row>
    <row r="201" spans="1:14" x14ac:dyDescent="0.3">
      <c r="A201" s="33">
        <v>45301</v>
      </c>
      <c r="B201" s="34" t="s">
        <v>74</v>
      </c>
      <c r="C201" s="34" t="s">
        <v>70</v>
      </c>
      <c r="D201" s="34" t="s">
        <v>68</v>
      </c>
      <c r="E201" s="34" t="s">
        <v>63</v>
      </c>
      <c r="F201" s="35">
        <v>73323</v>
      </c>
      <c r="G201" s="35">
        <v>1928</v>
      </c>
      <c r="H201" s="36">
        <v>2.63E-2</v>
      </c>
      <c r="I201" s="37">
        <v>1.71</v>
      </c>
      <c r="J201" s="37">
        <v>3296.88</v>
      </c>
      <c r="K201" s="35">
        <v>121</v>
      </c>
      <c r="L201" s="37">
        <v>27.25</v>
      </c>
      <c r="M201" s="37">
        <v>33634.99</v>
      </c>
      <c r="N201" s="38">
        <v>10.199999999999999</v>
      </c>
    </row>
    <row r="202" spans="1:14" x14ac:dyDescent="0.3">
      <c r="A202" s="33">
        <v>45308</v>
      </c>
      <c r="B202" s="34" t="s">
        <v>64</v>
      </c>
      <c r="C202" s="34" t="s">
        <v>67</v>
      </c>
      <c r="D202" s="34" t="s">
        <v>71</v>
      </c>
      <c r="E202" s="34" t="s">
        <v>77</v>
      </c>
      <c r="F202" s="35">
        <v>58521</v>
      </c>
      <c r="G202" s="35">
        <v>3318</v>
      </c>
      <c r="H202" s="36">
        <v>5.67E-2</v>
      </c>
      <c r="I202" s="37">
        <v>1.85</v>
      </c>
      <c r="J202" s="37">
        <v>6138.3</v>
      </c>
      <c r="K202" s="35">
        <v>39</v>
      </c>
      <c r="L202" s="37">
        <v>157.38999999999999</v>
      </c>
      <c r="M202" s="37">
        <v>10013.26</v>
      </c>
      <c r="N202" s="38">
        <v>1.63</v>
      </c>
    </row>
    <row r="203" spans="1:14" x14ac:dyDescent="0.3">
      <c r="A203" s="33">
        <v>45569</v>
      </c>
      <c r="B203" s="34" t="s">
        <v>64</v>
      </c>
      <c r="C203" s="34" t="s">
        <v>61</v>
      </c>
      <c r="D203" s="34" t="s">
        <v>71</v>
      </c>
      <c r="E203" s="34" t="s">
        <v>69</v>
      </c>
      <c r="F203" s="35">
        <v>48361</v>
      </c>
      <c r="G203" s="35">
        <v>2713</v>
      </c>
      <c r="H203" s="36">
        <v>5.6099999999999997E-2</v>
      </c>
      <c r="I203" s="37">
        <v>0.87</v>
      </c>
      <c r="J203" s="37">
        <v>2360.31</v>
      </c>
      <c r="K203" s="35">
        <v>54</v>
      </c>
      <c r="L203" s="37">
        <v>43.71</v>
      </c>
      <c r="M203" s="37">
        <v>7890.9</v>
      </c>
      <c r="N203" s="38">
        <v>3.34</v>
      </c>
    </row>
    <row r="204" spans="1:14" x14ac:dyDescent="0.3">
      <c r="A204" s="33">
        <v>45423</v>
      </c>
      <c r="B204" s="34" t="s">
        <v>64</v>
      </c>
      <c r="C204" s="34" t="s">
        <v>75</v>
      </c>
      <c r="D204" s="34" t="s">
        <v>68</v>
      </c>
      <c r="E204" s="34" t="s">
        <v>63</v>
      </c>
      <c r="F204" s="35">
        <v>179870</v>
      </c>
      <c r="G204" s="35">
        <v>7500</v>
      </c>
      <c r="H204" s="36">
        <v>4.1700000000000001E-2</v>
      </c>
      <c r="I204" s="37">
        <v>1.44</v>
      </c>
      <c r="J204" s="37">
        <v>10800</v>
      </c>
      <c r="K204" s="35">
        <v>112</v>
      </c>
      <c r="L204" s="37">
        <v>96.43</v>
      </c>
      <c r="M204" s="37">
        <v>5446.79</v>
      </c>
      <c r="N204" s="38">
        <v>0.5</v>
      </c>
    </row>
    <row r="205" spans="1:14" x14ac:dyDescent="0.3">
      <c r="A205" s="33">
        <v>45571</v>
      </c>
      <c r="B205" s="34" t="s">
        <v>64</v>
      </c>
      <c r="C205" s="34" t="s">
        <v>61</v>
      </c>
      <c r="D205" s="34" t="s">
        <v>76</v>
      </c>
      <c r="E205" s="34" t="s">
        <v>73</v>
      </c>
      <c r="F205" s="35">
        <v>114850</v>
      </c>
      <c r="G205" s="35">
        <v>8234</v>
      </c>
      <c r="H205" s="36">
        <v>7.17E-2</v>
      </c>
      <c r="I205" s="37">
        <v>1.63</v>
      </c>
      <c r="J205" s="37">
        <v>13421.42</v>
      </c>
      <c r="K205" s="35">
        <v>245</v>
      </c>
      <c r="L205" s="37">
        <v>54.78</v>
      </c>
      <c r="M205" s="37">
        <v>35478.839999999997</v>
      </c>
      <c r="N205" s="38">
        <v>2.64</v>
      </c>
    </row>
    <row r="206" spans="1:14" x14ac:dyDescent="0.3">
      <c r="A206" s="33">
        <v>45460</v>
      </c>
      <c r="B206" s="34" t="s">
        <v>60</v>
      </c>
      <c r="C206" s="34" t="s">
        <v>75</v>
      </c>
      <c r="D206" s="34" t="s">
        <v>68</v>
      </c>
      <c r="E206" s="34" t="s">
        <v>77</v>
      </c>
      <c r="F206" s="35">
        <v>54976</v>
      </c>
      <c r="G206" s="35">
        <v>2611</v>
      </c>
      <c r="H206" s="36">
        <v>4.7500000000000001E-2</v>
      </c>
      <c r="I206" s="37">
        <v>1.32</v>
      </c>
      <c r="J206" s="37">
        <v>3446.52</v>
      </c>
      <c r="K206" s="35">
        <v>187</v>
      </c>
      <c r="L206" s="37">
        <v>18.43</v>
      </c>
      <c r="M206" s="37">
        <v>8230.48</v>
      </c>
      <c r="N206" s="38">
        <v>2.39</v>
      </c>
    </row>
    <row r="207" spans="1:14" x14ac:dyDescent="0.3">
      <c r="A207" s="33">
        <v>45530</v>
      </c>
      <c r="B207" s="34" t="s">
        <v>60</v>
      </c>
      <c r="C207" s="34" t="s">
        <v>70</v>
      </c>
      <c r="D207" s="34" t="s">
        <v>62</v>
      </c>
      <c r="E207" s="34" t="s">
        <v>78</v>
      </c>
      <c r="F207" s="35">
        <v>162636</v>
      </c>
      <c r="G207" s="35">
        <v>9237</v>
      </c>
      <c r="H207" s="36">
        <v>5.6800000000000003E-2</v>
      </c>
      <c r="I207" s="37">
        <v>1.41</v>
      </c>
      <c r="J207" s="37">
        <v>13024.17</v>
      </c>
      <c r="K207" s="35">
        <v>738</v>
      </c>
      <c r="L207" s="37">
        <v>17.649999999999999</v>
      </c>
      <c r="M207" s="37">
        <v>102989.98</v>
      </c>
      <c r="N207" s="38">
        <v>7.91</v>
      </c>
    </row>
    <row r="208" spans="1:14" x14ac:dyDescent="0.3">
      <c r="A208" s="33">
        <v>45440</v>
      </c>
      <c r="B208" s="34" t="s">
        <v>60</v>
      </c>
      <c r="C208" s="34" t="s">
        <v>75</v>
      </c>
      <c r="D208" s="34" t="s">
        <v>68</v>
      </c>
      <c r="E208" s="34" t="s">
        <v>77</v>
      </c>
      <c r="F208" s="35">
        <v>23375</v>
      </c>
      <c r="G208" s="35">
        <v>1175</v>
      </c>
      <c r="H208" s="36">
        <v>5.0299999999999997E-2</v>
      </c>
      <c r="I208" s="37">
        <v>1.42</v>
      </c>
      <c r="J208" s="37">
        <v>1668.5</v>
      </c>
      <c r="K208" s="35">
        <v>15</v>
      </c>
      <c r="L208" s="37">
        <v>111.23</v>
      </c>
      <c r="M208" s="37">
        <v>1524.57</v>
      </c>
      <c r="N208" s="38">
        <v>0.91</v>
      </c>
    </row>
    <row r="209" spans="1:14" x14ac:dyDescent="0.3">
      <c r="A209" s="33">
        <v>45648</v>
      </c>
      <c r="B209" s="34" t="s">
        <v>74</v>
      </c>
      <c r="C209" s="34" t="s">
        <v>70</v>
      </c>
      <c r="D209" s="34" t="s">
        <v>76</v>
      </c>
      <c r="E209" s="34" t="s">
        <v>73</v>
      </c>
      <c r="F209" s="35">
        <v>167917</v>
      </c>
      <c r="G209" s="35">
        <v>6246</v>
      </c>
      <c r="H209" s="36">
        <v>3.7199999999999997E-2</v>
      </c>
      <c r="I209" s="37">
        <v>0.6</v>
      </c>
      <c r="J209" s="37">
        <v>3747.6</v>
      </c>
      <c r="K209" s="35">
        <v>413</v>
      </c>
      <c r="L209" s="37">
        <v>9.07</v>
      </c>
      <c r="M209" s="37">
        <v>25997.62</v>
      </c>
      <c r="N209" s="38">
        <v>6.94</v>
      </c>
    </row>
    <row r="210" spans="1:14" x14ac:dyDescent="0.3">
      <c r="A210" s="33">
        <v>45542</v>
      </c>
      <c r="B210" s="34" t="s">
        <v>60</v>
      </c>
      <c r="C210" s="34" t="s">
        <v>61</v>
      </c>
      <c r="D210" s="34" t="s">
        <v>76</v>
      </c>
      <c r="E210" s="34" t="s">
        <v>69</v>
      </c>
      <c r="F210" s="35">
        <v>71216</v>
      </c>
      <c r="G210" s="35">
        <v>2357</v>
      </c>
      <c r="H210" s="36">
        <v>3.3099999999999997E-2</v>
      </c>
      <c r="I210" s="37">
        <v>3.17</v>
      </c>
      <c r="J210" s="37">
        <v>7471.69</v>
      </c>
      <c r="K210" s="35">
        <v>179</v>
      </c>
      <c r="L210" s="37">
        <v>41.74</v>
      </c>
      <c r="M210" s="37">
        <v>29354.19</v>
      </c>
      <c r="N210" s="38">
        <v>3.93</v>
      </c>
    </row>
    <row r="211" spans="1:14" x14ac:dyDescent="0.3">
      <c r="A211" s="33">
        <v>45630</v>
      </c>
      <c r="B211" s="34" t="s">
        <v>60</v>
      </c>
      <c r="C211" s="34" t="s">
        <v>67</v>
      </c>
      <c r="D211" s="34" t="s">
        <v>65</v>
      </c>
      <c r="E211" s="34" t="s">
        <v>72</v>
      </c>
      <c r="F211" s="35">
        <v>29618</v>
      </c>
      <c r="G211" s="35">
        <v>1883</v>
      </c>
      <c r="H211" s="36">
        <v>6.3600000000000004E-2</v>
      </c>
      <c r="I211" s="37">
        <v>2.17</v>
      </c>
      <c r="J211" s="37">
        <v>4086.11</v>
      </c>
      <c r="K211" s="35">
        <v>90</v>
      </c>
      <c r="L211" s="37">
        <v>45.4</v>
      </c>
      <c r="M211" s="37">
        <v>26198.959999999999</v>
      </c>
      <c r="N211" s="38">
        <v>6.41</v>
      </c>
    </row>
    <row r="212" spans="1:14" x14ac:dyDescent="0.3">
      <c r="A212" s="33">
        <v>45627</v>
      </c>
      <c r="B212" s="34" t="s">
        <v>60</v>
      </c>
      <c r="C212" s="34" t="s">
        <v>61</v>
      </c>
      <c r="D212" s="34" t="s">
        <v>68</v>
      </c>
      <c r="E212" s="34" t="s">
        <v>73</v>
      </c>
      <c r="F212" s="35">
        <v>136461</v>
      </c>
      <c r="G212" s="35">
        <v>3984</v>
      </c>
      <c r="H212" s="36">
        <v>2.92E-2</v>
      </c>
      <c r="I212" s="37">
        <v>1.49</v>
      </c>
      <c r="J212" s="37">
        <v>5936.16</v>
      </c>
      <c r="K212" s="35">
        <v>214</v>
      </c>
      <c r="L212" s="37">
        <v>27.74</v>
      </c>
      <c r="M212" s="37">
        <v>24710.240000000002</v>
      </c>
      <c r="N212" s="38">
        <v>4.16</v>
      </c>
    </row>
    <row r="213" spans="1:14" x14ac:dyDescent="0.3">
      <c r="A213" s="33">
        <v>45497</v>
      </c>
      <c r="B213" s="34" t="s">
        <v>64</v>
      </c>
      <c r="C213" s="34" t="s">
        <v>61</v>
      </c>
      <c r="D213" s="34" t="s">
        <v>68</v>
      </c>
      <c r="E213" s="34" t="s">
        <v>78</v>
      </c>
      <c r="F213" s="35">
        <v>132426</v>
      </c>
      <c r="G213" s="35">
        <v>7309</v>
      </c>
      <c r="H213" s="36">
        <v>5.5199999999999999E-2</v>
      </c>
      <c r="I213" s="37">
        <v>0.32</v>
      </c>
      <c r="J213" s="37">
        <v>2338.88</v>
      </c>
      <c r="K213" s="35">
        <v>171</v>
      </c>
      <c r="L213" s="37">
        <v>13.68</v>
      </c>
      <c r="M213" s="37">
        <v>24136.13</v>
      </c>
      <c r="N213" s="38">
        <v>10.32</v>
      </c>
    </row>
    <row r="214" spans="1:14" x14ac:dyDescent="0.3">
      <c r="A214" s="33">
        <v>45625</v>
      </c>
      <c r="B214" s="34" t="s">
        <v>64</v>
      </c>
      <c r="C214" s="34" t="s">
        <v>61</v>
      </c>
      <c r="D214" s="34" t="s">
        <v>76</v>
      </c>
      <c r="E214" s="34" t="s">
        <v>72</v>
      </c>
      <c r="F214" s="35">
        <v>159692</v>
      </c>
      <c r="G214" s="35">
        <v>6882</v>
      </c>
      <c r="H214" s="36">
        <v>4.3099999999999999E-2</v>
      </c>
      <c r="I214" s="37">
        <v>0.37</v>
      </c>
      <c r="J214" s="37">
        <v>2546.34</v>
      </c>
      <c r="K214" s="35">
        <v>523</v>
      </c>
      <c r="L214" s="37">
        <v>4.87</v>
      </c>
      <c r="M214" s="37">
        <v>106309.31</v>
      </c>
      <c r="N214" s="38">
        <v>41.75</v>
      </c>
    </row>
    <row r="215" spans="1:14" x14ac:dyDescent="0.3">
      <c r="A215" s="33">
        <v>45539</v>
      </c>
      <c r="B215" s="34" t="s">
        <v>74</v>
      </c>
      <c r="C215" s="34" t="s">
        <v>67</v>
      </c>
      <c r="D215" s="34" t="s">
        <v>62</v>
      </c>
      <c r="E215" s="34" t="s">
        <v>77</v>
      </c>
      <c r="F215" s="35">
        <v>27931</v>
      </c>
      <c r="G215" s="35">
        <v>608</v>
      </c>
      <c r="H215" s="36">
        <v>2.18E-2</v>
      </c>
      <c r="I215" s="37">
        <v>1.52</v>
      </c>
      <c r="J215" s="37">
        <v>924.16</v>
      </c>
      <c r="K215" s="35">
        <v>10</v>
      </c>
      <c r="L215" s="37">
        <v>92.42</v>
      </c>
      <c r="M215" s="37">
        <v>1389.72</v>
      </c>
      <c r="N215" s="38">
        <v>1.5</v>
      </c>
    </row>
    <row r="216" spans="1:14" x14ac:dyDescent="0.3">
      <c r="A216" s="33">
        <v>45510</v>
      </c>
      <c r="B216" s="34" t="s">
        <v>74</v>
      </c>
      <c r="C216" s="34" t="s">
        <v>75</v>
      </c>
      <c r="D216" s="34" t="s">
        <v>65</v>
      </c>
      <c r="E216" s="34" t="s">
        <v>69</v>
      </c>
      <c r="F216" s="35">
        <v>131155</v>
      </c>
      <c r="G216" s="35">
        <v>4052</v>
      </c>
      <c r="H216" s="36">
        <v>3.09E-2</v>
      </c>
      <c r="I216" s="37">
        <v>1.24</v>
      </c>
      <c r="J216" s="37">
        <v>5024.4799999999996</v>
      </c>
      <c r="K216" s="35">
        <v>209</v>
      </c>
      <c r="L216" s="37">
        <v>24.04</v>
      </c>
      <c r="M216" s="37">
        <v>15982.2</v>
      </c>
      <c r="N216" s="38">
        <v>3.18</v>
      </c>
    </row>
    <row r="217" spans="1:14" x14ac:dyDescent="0.3">
      <c r="A217" s="33">
        <v>45439</v>
      </c>
      <c r="B217" s="34" t="s">
        <v>64</v>
      </c>
      <c r="C217" s="34" t="s">
        <v>70</v>
      </c>
      <c r="D217" s="34" t="s">
        <v>62</v>
      </c>
      <c r="E217" s="34" t="s">
        <v>69</v>
      </c>
      <c r="F217" s="35">
        <v>66842</v>
      </c>
      <c r="G217" s="35">
        <v>2339</v>
      </c>
      <c r="H217" s="36">
        <v>3.5000000000000003E-2</v>
      </c>
      <c r="I217" s="37">
        <v>1.4</v>
      </c>
      <c r="J217" s="37">
        <v>3274.6</v>
      </c>
      <c r="K217" s="35">
        <v>123</v>
      </c>
      <c r="L217" s="37">
        <v>26.62</v>
      </c>
      <c r="M217" s="37">
        <v>14081.65</v>
      </c>
      <c r="N217" s="38">
        <v>4.3</v>
      </c>
    </row>
    <row r="218" spans="1:14" x14ac:dyDescent="0.3">
      <c r="A218" s="33">
        <v>45356</v>
      </c>
      <c r="B218" s="34" t="s">
        <v>60</v>
      </c>
      <c r="C218" s="34" t="s">
        <v>70</v>
      </c>
      <c r="D218" s="34" t="s">
        <v>71</v>
      </c>
      <c r="E218" s="34" t="s">
        <v>63</v>
      </c>
      <c r="F218" s="35">
        <v>7642</v>
      </c>
      <c r="G218" s="35">
        <v>202</v>
      </c>
      <c r="H218" s="36">
        <v>2.6499999999999999E-2</v>
      </c>
      <c r="I218" s="37">
        <v>3.38</v>
      </c>
      <c r="J218" s="37">
        <v>682.76</v>
      </c>
      <c r="K218" s="35">
        <v>11</v>
      </c>
      <c r="L218" s="37">
        <v>62.07</v>
      </c>
      <c r="M218" s="37">
        <v>1542.21</v>
      </c>
      <c r="N218" s="38">
        <v>2.2599999999999998</v>
      </c>
    </row>
    <row r="219" spans="1:14" x14ac:dyDescent="0.3">
      <c r="A219" s="33">
        <v>45455</v>
      </c>
      <c r="B219" s="34" t="s">
        <v>60</v>
      </c>
      <c r="C219" s="34" t="s">
        <v>70</v>
      </c>
      <c r="D219" s="34" t="s">
        <v>76</v>
      </c>
      <c r="E219" s="34" t="s">
        <v>69</v>
      </c>
      <c r="F219" s="35">
        <v>70618</v>
      </c>
      <c r="G219" s="35">
        <v>3601</v>
      </c>
      <c r="H219" s="36">
        <v>5.0999999999999997E-2</v>
      </c>
      <c r="I219" s="37">
        <v>2.23</v>
      </c>
      <c r="J219" s="37">
        <v>8030.23</v>
      </c>
      <c r="K219" s="35">
        <v>145</v>
      </c>
      <c r="L219" s="37">
        <v>55.38</v>
      </c>
      <c r="M219" s="37">
        <v>7976.29</v>
      </c>
      <c r="N219" s="38">
        <v>0.99</v>
      </c>
    </row>
    <row r="220" spans="1:14" x14ac:dyDescent="0.3">
      <c r="A220" s="33">
        <v>45562</v>
      </c>
      <c r="B220" s="34" t="s">
        <v>74</v>
      </c>
      <c r="C220" s="34" t="s">
        <v>67</v>
      </c>
      <c r="D220" s="34" t="s">
        <v>76</v>
      </c>
      <c r="E220" s="34" t="s">
        <v>72</v>
      </c>
      <c r="F220" s="35">
        <v>74212</v>
      </c>
      <c r="G220" s="35">
        <v>1528</v>
      </c>
      <c r="H220" s="36">
        <v>2.06E-2</v>
      </c>
      <c r="I220" s="37">
        <v>1.46</v>
      </c>
      <c r="J220" s="37">
        <v>2230.88</v>
      </c>
      <c r="K220" s="35">
        <v>85</v>
      </c>
      <c r="L220" s="37">
        <v>26.25</v>
      </c>
      <c r="M220" s="37">
        <v>21331.58</v>
      </c>
      <c r="N220" s="38">
        <v>9.56</v>
      </c>
    </row>
    <row r="221" spans="1:14" x14ac:dyDescent="0.3">
      <c r="A221" s="33">
        <v>45360</v>
      </c>
      <c r="B221" s="34" t="s">
        <v>60</v>
      </c>
      <c r="C221" s="34" t="s">
        <v>70</v>
      </c>
      <c r="D221" s="34" t="s">
        <v>76</v>
      </c>
      <c r="E221" s="34" t="s">
        <v>69</v>
      </c>
      <c r="F221" s="35">
        <v>10039</v>
      </c>
      <c r="G221" s="35">
        <v>501</v>
      </c>
      <c r="H221" s="36">
        <v>0.05</v>
      </c>
      <c r="I221" s="37">
        <v>2.29</v>
      </c>
      <c r="J221" s="37">
        <v>1147.29</v>
      </c>
      <c r="K221" s="35">
        <v>36</v>
      </c>
      <c r="L221" s="37">
        <v>31.87</v>
      </c>
      <c r="M221" s="37">
        <v>4805.5200000000004</v>
      </c>
      <c r="N221" s="38">
        <v>4.1900000000000004</v>
      </c>
    </row>
    <row r="222" spans="1:14" x14ac:dyDescent="0.3">
      <c r="A222" s="33">
        <v>45649</v>
      </c>
      <c r="B222" s="34" t="s">
        <v>74</v>
      </c>
      <c r="C222" s="34" t="s">
        <v>67</v>
      </c>
      <c r="D222" s="34" t="s">
        <v>68</v>
      </c>
      <c r="E222" s="34" t="s">
        <v>77</v>
      </c>
      <c r="F222" s="35">
        <v>102088</v>
      </c>
      <c r="G222" s="35">
        <v>4481</v>
      </c>
      <c r="H222" s="36">
        <v>4.3900000000000002E-2</v>
      </c>
      <c r="I222" s="37">
        <v>0.73</v>
      </c>
      <c r="J222" s="37">
        <v>3271.13</v>
      </c>
      <c r="K222" s="35">
        <v>316</v>
      </c>
      <c r="L222" s="37">
        <v>10.35</v>
      </c>
      <c r="M222" s="37">
        <v>87569.74</v>
      </c>
      <c r="N222" s="38">
        <v>26.77</v>
      </c>
    </row>
    <row r="223" spans="1:14" x14ac:dyDescent="0.3">
      <c r="A223" s="33">
        <v>45549</v>
      </c>
      <c r="B223" s="34" t="s">
        <v>64</v>
      </c>
      <c r="C223" s="34" t="s">
        <v>75</v>
      </c>
      <c r="D223" s="34" t="s">
        <v>62</v>
      </c>
      <c r="E223" s="34" t="s">
        <v>63</v>
      </c>
      <c r="F223" s="35">
        <v>25025</v>
      </c>
      <c r="G223" s="35">
        <v>1256</v>
      </c>
      <c r="H223" s="36">
        <v>5.0200000000000002E-2</v>
      </c>
      <c r="I223" s="37">
        <v>0.43</v>
      </c>
      <c r="J223" s="37">
        <v>540.08000000000004</v>
      </c>
      <c r="K223" s="35">
        <v>38</v>
      </c>
      <c r="L223" s="37">
        <v>14.21</v>
      </c>
      <c r="M223" s="37">
        <v>5694.61</v>
      </c>
      <c r="N223" s="38">
        <v>10.54</v>
      </c>
    </row>
    <row r="224" spans="1:14" x14ac:dyDescent="0.3">
      <c r="A224" s="33">
        <v>45601</v>
      </c>
      <c r="B224" s="34" t="s">
        <v>60</v>
      </c>
      <c r="C224" s="34" t="s">
        <v>70</v>
      </c>
      <c r="D224" s="34" t="s">
        <v>68</v>
      </c>
      <c r="E224" s="34" t="s">
        <v>73</v>
      </c>
      <c r="F224" s="35">
        <v>36707</v>
      </c>
      <c r="G224" s="35">
        <v>943</v>
      </c>
      <c r="H224" s="36">
        <v>2.5700000000000001E-2</v>
      </c>
      <c r="I224" s="37">
        <v>1.31</v>
      </c>
      <c r="J224" s="37">
        <v>1235.33</v>
      </c>
      <c r="K224" s="35">
        <v>21</v>
      </c>
      <c r="L224" s="37">
        <v>58.83</v>
      </c>
      <c r="M224" s="37">
        <v>4396.12</v>
      </c>
      <c r="N224" s="38">
        <v>3.56</v>
      </c>
    </row>
    <row r="225" spans="1:14" x14ac:dyDescent="0.3">
      <c r="A225" s="33">
        <v>45582</v>
      </c>
      <c r="B225" s="34" t="s">
        <v>64</v>
      </c>
      <c r="C225" s="34" t="s">
        <v>61</v>
      </c>
      <c r="D225" s="34" t="s">
        <v>65</v>
      </c>
      <c r="E225" s="34" t="s">
        <v>73</v>
      </c>
      <c r="F225" s="35">
        <v>17356</v>
      </c>
      <c r="G225" s="35">
        <v>925</v>
      </c>
      <c r="H225" s="36">
        <v>5.33E-2</v>
      </c>
      <c r="I225" s="37">
        <v>0.46</v>
      </c>
      <c r="J225" s="37">
        <v>425.5</v>
      </c>
      <c r="K225" s="35">
        <v>62</v>
      </c>
      <c r="L225" s="37">
        <v>6.86</v>
      </c>
      <c r="M225" s="37">
        <v>5476.85</v>
      </c>
      <c r="N225" s="38">
        <v>12.87</v>
      </c>
    </row>
    <row r="226" spans="1:14" x14ac:dyDescent="0.3">
      <c r="A226" s="33">
        <v>45468</v>
      </c>
      <c r="B226" s="34" t="s">
        <v>64</v>
      </c>
      <c r="C226" s="34" t="s">
        <v>61</v>
      </c>
      <c r="D226" s="34" t="s">
        <v>65</v>
      </c>
      <c r="E226" s="34" t="s">
        <v>77</v>
      </c>
      <c r="F226" s="35">
        <v>86257</v>
      </c>
      <c r="G226" s="35">
        <v>4597</v>
      </c>
      <c r="H226" s="36">
        <v>5.33E-2</v>
      </c>
      <c r="I226" s="37">
        <v>0.83</v>
      </c>
      <c r="J226" s="37">
        <v>3815.51</v>
      </c>
      <c r="K226" s="35">
        <v>301</v>
      </c>
      <c r="L226" s="37">
        <v>12.68</v>
      </c>
      <c r="M226" s="37">
        <v>80903.28</v>
      </c>
      <c r="N226" s="38">
        <v>21.2</v>
      </c>
    </row>
    <row r="227" spans="1:14" x14ac:dyDescent="0.3">
      <c r="A227" s="33">
        <v>45604</v>
      </c>
      <c r="B227" s="34" t="s">
        <v>60</v>
      </c>
      <c r="C227" s="34" t="s">
        <v>70</v>
      </c>
      <c r="D227" s="34" t="s">
        <v>62</v>
      </c>
      <c r="E227" s="34" t="s">
        <v>77</v>
      </c>
      <c r="F227" s="35">
        <v>32518</v>
      </c>
      <c r="G227" s="35">
        <v>1258</v>
      </c>
      <c r="H227" s="36">
        <v>3.8699999999999998E-2</v>
      </c>
      <c r="I227" s="37">
        <v>2.41</v>
      </c>
      <c r="J227" s="37">
        <v>3031.78</v>
      </c>
      <c r="K227" s="35">
        <v>12</v>
      </c>
      <c r="L227" s="37">
        <v>252.65</v>
      </c>
      <c r="M227" s="37">
        <v>2688.72</v>
      </c>
      <c r="N227" s="38">
        <v>0.89</v>
      </c>
    </row>
    <row r="228" spans="1:14" x14ac:dyDescent="0.3">
      <c r="A228" s="33">
        <v>45500</v>
      </c>
      <c r="B228" s="34" t="s">
        <v>74</v>
      </c>
      <c r="C228" s="34" t="s">
        <v>75</v>
      </c>
      <c r="D228" s="34" t="s">
        <v>76</v>
      </c>
      <c r="E228" s="34" t="s">
        <v>77</v>
      </c>
      <c r="F228" s="35">
        <v>75269</v>
      </c>
      <c r="G228" s="35">
        <v>2604</v>
      </c>
      <c r="H228" s="36">
        <v>3.4599999999999999E-2</v>
      </c>
      <c r="I228" s="37">
        <v>0.83</v>
      </c>
      <c r="J228" s="37">
        <v>2161.3200000000002</v>
      </c>
      <c r="K228" s="35">
        <v>70</v>
      </c>
      <c r="L228" s="37">
        <v>30.88</v>
      </c>
      <c r="M228" s="37">
        <v>3191.14</v>
      </c>
      <c r="N228" s="38">
        <v>1.48</v>
      </c>
    </row>
    <row r="229" spans="1:14" x14ac:dyDescent="0.3">
      <c r="A229" s="33">
        <v>45428</v>
      </c>
      <c r="B229" s="34" t="s">
        <v>60</v>
      </c>
      <c r="C229" s="34" t="s">
        <v>67</v>
      </c>
      <c r="D229" s="34" t="s">
        <v>65</v>
      </c>
      <c r="E229" s="34" t="s">
        <v>73</v>
      </c>
      <c r="F229" s="35">
        <v>20534</v>
      </c>
      <c r="G229" s="35">
        <v>993</v>
      </c>
      <c r="H229" s="36">
        <v>4.8399999999999999E-2</v>
      </c>
      <c r="I229" s="37">
        <v>2.87</v>
      </c>
      <c r="J229" s="37">
        <v>2849.91</v>
      </c>
      <c r="K229" s="35">
        <v>49</v>
      </c>
      <c r="L229" s="37">
        <v>58.16</v>
      </c>
      <c r="M229" s="37">
        <v>1762.93</v>
      </c>
      <c r="N229" s="38">
        <v>0.62</v>
      </c>
    </row>
    <row r="230" spans="1:14" x14ac:dyDescent="0.3">
      <c r="A230" s="33">
        <v>45611</v>
      </c>
      <c r="B230" s="34" t="s">
        <v>64</v>
      </c>
      <c r="C230" s="34" t="s">
        <v>70</v>
      </c>
      <c r="D230" s="34" t="s">
        <v>76</v>
      </c>
      <c r="E230" s="34" t="s">
        <v>63</v>
      </c>
      <c r="F230" s="35">
        <v>98500</v>
      </c>
      <c r="G230" s="35">
        <v>5614</v>
      </c>
      <c r="H230" s="36">
        <v>5.7000000000000002E-2</v>
      </c>
      <c r="I230" s="37">
        <v>0.61</v>
      </c>
      <c r="J230" s="37">
        <v>3424.54</v>
      </c>
      <c r="K230" s="35">
        <v>220</v>
      </c>
      <c r="L230" s="37">
        <v>15.57</v>
      </c>
      <c r="M230" s="37">
        <v>7676.57</v>
      </c>
      <c r="N230" s="38">
        <v>2.2400000000000002</v>
      </c>
    </row>
    <row r="231" spans="1:14" x14ac:dyDescent="0.3">
      <c r="A231" s="33">
        <v>45498</v>
      </c>
      <c r="B231" s="34" t="s">
        <v>64</v>
      </c>
      <c r="C231" s="34" t="s">
        <v>61</v>
      </c>
      <c r="D231" s="34" t="s">
        <v>62</v>
      </c>
      <c r="E231" s="34" t="s">
        <v>63</v>
      </c>
      <c r="F231" s="35">
        <v>41468</v>
      </c>
      <c r="G231" s="35">
        <v>3354</v>
      </c>
      <c r="H231" s="36">
        <v>8.09E-2</v>
      </c>
      <c r="I231" s="37">
        <v>1.1100000000000001</v>
      </c>
      <c r="J231" s="37">
        <v>3722.94</v>
      </c>
      <c r="K231" s="35">
        <v>81</v>
      </c>
      <c r="L231" s="37">
        <v>45.96</v>
      </c>
      <c r="M231" s="37">
        <v>5215.9399999999996</v>
      </c>
      <c r="N231" s="38">
        <v>1.4</v>
      </c>
    </row>
    <row r="232" spans="1:14" x14ac:dyDescent="0.3">
      <c r="A232" s="33">
        <v>45438</v>
      </c>
      <c r="B232" s="34" t="s">
        <v>60</v>
      </c>
      <c r="C232" s="34" t="s">
        <v>67</v>
      </c>
      <c r="D232" s="34" t="s">
        <v>68</v>
      </c>
      <c r="E232" s="34" t="s">
        <v>73</v>
      </c>
      <c r="F232" s="35">
        <v>123696</v>
      </c>
      <c r="G232" s="35">
        <v>6531</v>
      </c>
      <c r="H232" s="36">
        <v>5.28E-2</v>
      </c>
      <c r="I232" s="37">
        <v>2.58</v>
      </c>
      <c r="J232" s="37">
        <v>16849.98</v>
      </c>
      <c r="K232" s="35">
        <v>466</v>
      </c>
      <c r="L232" s="37">
        <v>36.159999999999997</v>
      </c>
      <c r="M232" s="37">
        <v>62974.93</v>
      </c>
      <c r="N232" s="38">
        <v>3.74</v>
      </c>
    </row>
    <row r="233" spans="1:14" x14ac:dyDescent="0.3">
      <c r="A233" s="33">
        <v>45604</v>
      </c>
      <c r="B233" s="34" t="s">
        <v>74</v>
      </c>
      <c r="C233" s="34" t="s">
        <v>70</v>
      </c>
      <c r="D233" s="34" t="s">
        <v>65</v>
      </c>
      <c r="E233" s="34" t="s">
        <v>72</v>
      </c>
      <c r="F233" s="35">
        <v>81848</v>
      </c>
      <c r="G233" s="35">
        <v>1694</v>
      </c>
      <c r="H233" s="36">
        <v>2.07E-2</v>
      </c>
      <c r="I233" s="37">
        <v>1.29</v>
      </c>
      <c r="J233" s="37">
        <v>2185.2600000000002</v>
      </c>
      <c r="K233" s="35">
        <v>58</v>
      </c>
      <c r="L233" s="37">
        <v>37.68</v>
      </c>
      <c r="M233" s="37">
        <v>7573.87</v>
      </c>
      <c r="N233" s="38">
        <v>3.47</v>
      </c>
    </row>
    <row r="234" spans="1:14" x14ac:dyDescent="0.3">
      <c r="A234" s="33">
        <v>45351</v>
      </c>
      <c r="B234" s="34" t="s">
        <v>60</v>
      </c>
      <c r="C234" s="34" t="s">
        <v>75</v>
      </c>
      <c r="D234" s="34" t="s">
        <v>65</v>
      </c>
      <c r="E234" s="34" t="s">
        <v>73</v>
      </c>
      <c r="F234" s="35">
        <v>92923</v>
      </c>
      <c r="G234" s="35">
        <v>1932</v>
      </c>
      <c r="H234" s="36">
        <v>2.0799999999999999E-2</v>
      </c>
      <c r="I234" s="37">
        <v>3.17</v>
      </c>
      <c r="J234" s="37">
        <v>6124.44</v>
      </c>
      <c r="K234" s="35">
        <v>32</v>
      </c>
      <c r="L234" s="37">
        <v>191.39</v>
      </c>
      <c r="M234" s="37">
        <v>1855.78</v>
      </c>
      <c r="N234" s="38">
        <v>0.3</v>
      </c>
    </row>
    <row r="235" spans="1:14" x14ac:dyDescent="0.3">
      <c r="A235" s="33">
        <v>45605</v>
      </c>
      <c r="B235" s="34" t="s">
        <v>60</v>
      </c>
      <c r="C235" s="34" t="s">
        <v>70</v>
      </c>
      <c r="D235" s="34" t="s">
        <v>76</v>
      </c>
      <c r="E235" s="34" t="s">
        <v>66</v>
      </c>
      <c r="F235" s="35">
        <v>170732</v>
      </c>
      <c r="G235" s="35">
        <v>7700</v>
      </c>
      <c r="H235" s="36">
        <v>4.5100000000000001E-2</v>
      </c>
      <c r="I235" s="37">
        <v>0.81</v>
      </c>
      <c r="J235" s="37">
        <v>6237</v>
      </c>
      <c r="K235" s="35">
        <v>434</v>
      </c>
      <c r="L235" s="37">
        <v>14.37</v>
      </c>
      <c r="M235" s="37">
        <v>53677.08</v>
      </c>
      <c r="N235" s="38">
        <v>8.61</v>
      </c>
    </row>
    <row r="236" spans="1:14" x14ac:dyDescent="0.3">
      <c r="A236" s="33">
        <v>45568</v>
      </c>
      <c r="B236" s="34" t="s">
        <v>60</v>
      </c>
      <c r="C236" s="34" t="s">
        <v>75</v>
      </c>
      <c r="D236" s="34" t="s">
        <v>76</v>
      </c>
      <c r="E236" s="34" t="s">
        <v>78</v>
      </c>
      <c r="F236" s="35">
        <v>86471</v>
      </c>
      <c r="G236" s="35">
        <v>4859</v>
      </c>
      <c r="H236" s="36">
        <v>5.62E-2</v>
      </c>
      <c r="I236" s="37">
        <v>1.57</v>
      </c>
      <c r="J236" s="37">
        <v>7628.63</v>
      </c>
      <c r="K236" s="35">
        <v>248</v>
      </c>
      <c r="L236" s="37">
        <v>30.76</v>
      </c>
      <c r="M236" s="37">
        <v>19852.560000000001</v>
      </c>
      <c r="N236" s="38">
        <v>2.6</v>
      </c>
    </row>
    <row r="237" spans="1:14" x14ac:dyDescent="0.3">
      <c r="A237" s="33">
        <v>45591</v>
      </c>
      <c r="B237" s="34" t="s">
        <v>74</v>
      </c>
      <c r="C237" s="34" t="s">
        <v>75</v>
      </c>
      <c r="D237" s="34" t="s">
        <v>65</v>
      </c>
      <c r="E237" s="34" t="s">
        <v>66</v>
      </c>
      <c r="F237" s="35">
        <v>115986</v>
      </c>
      <c r="G237" s="35">
        <v>1357</v>
      </c>
      <c r="H237" s="36">
        <v>1.17E-2</v>
      </c>
      <c r="I237" s="37">
        <v>1.48</v>
      </c>
      <c r="J237" s="37">
        <v>2008.36</v>
      </c>
      <c r="K237" s="35">
        <v>79</v>
      </c>
      <c r="L237" s="37">
        <v>25.42</v>
      </c>
      <c r="M237" s="37">
        <v>8002.44</v>
      </c>
      <c r="N237" s="38">
        <v>3.98</v>
      </c>
    </row>
    <row r="238" spans="1:14" x14ac:dyDescent="0.3">
      <c r="A238" s="33">
        <v>45464</v>
      </c>
      <c r="B238" s="34" t="s">
        <v>64</v>
      </c>
      <c r="C238" s="34" t="s">
        <v>75</v>
      </c>
      <c r="D238" s="34" t="s">
        <v>68</v>
      </c>
      <c r="E238" s="34" t="s">
        <v>69</v>
      </c>
      <c r="F238" s="35">
        <v>42019</v>
      </c>
      <c r="G238" s="35">
        <v>2979</v>
      </c>
      <c r="H238" s="36">
        <v>7.0900000000000005E-2</v>
      </c>
      <c r="I238" s="37">
        <v>1.51</v>
      </c>
      <c r="J238" s="37">
        <v>4498.29</v>
      </c>
      <c r="K238" s="35">
        <v>234</v>
      </c>
      <c r="L238" s="37">
        <v>19.22</v>
      </c>
      <c r="M238" s="37">
        <v>56724.23</v>
      </c>
      <c r="N238" s="38">
        <v>12.61</v>
      </c>
    </row>
    <row r="239" spans="1:14" x14ac:dyDescent="0.3">
      <c r="A239" s="33">
        <v>45319</v>
      </c>
      <c r="B239" s="34" t="s">
        <v>64</v>
      </c>
      <c r="C239" s="34" t="s">
        <v>70</v>
      </c>
      <c r="D239" s="34" t="s">
        <v>65</v>
      </c>
      <c r="E239" s="34" t="s">
        <v>69</v>
      </c>
      <c r="F239" s="35">
        <v>34063</v>
      </c>
      <c r="G239" s="35">
        <v>1243</v>
      </c>
      <c r="H239" s="36">
        <v>3.6499999999999998E-2</v>
      </c>
      <c r="I239" s="37">
        <v>0.38</v>
      </c>
      <c r="J239" s="37">
        <v>472.34</v>
      </c>
      <c r="K239" s="35">
        <v>40</v>
      </c>
      <c r="L239" s="37">
        <v>11.81</v>
      </c>
      <c r="M239" s="37">
        <v>10897.53</v>
      </c>
      <c r="N239" s="38">
        <v>23.07</v>
      </c>
    </row>
    <row r="240" spans="1:14" x14ac:dyDescent="0.3">
      <c r="A240" s="33">
        <v>45395</v>
      </c>
      <c r="B240" s="34" t="s">
        <v>64</v>
      </c>
      <c r="C240" s="34" t="s">
        <v>70</v>
      </c>
      <c r="D240" s="34" t="s">
        <v>68</v>
      </c>
      <c r="E240" s="34" t="s">
        <v>78</v>
      </c>
      <c r="F240" s="35">
        <v>107476</v>
      </c>
      <c r="G240" s="35">
        <v>4707</v>
      </c>
      <c r="H240" s="36">
        <v>4.3799999999999999E-2</v>
      </c>
      <c r="I240" s="37">
        <v>1.7</v>
      </c>
      <c r="J240" s="37">
        <v>8001.9</v>
      </c>
      <c r="K240" s="35">
        <v>293</v>
      </c>
      <c r="L240" s="37">
        <v>27.31</v>
      </c>
      <c r="M240" s="37">
        <v>72605.27</v>
      </c>
      <c r="N240" s="38">
        <v>9.07</v>
      </c>
    </row>
    <row r="241" spans="1:14" x14ac:dyDescent="0.3">
      <c r="A241" s="33">
        <v>45642</v>
      </c>
      <c r="B241" s="34" t="s">
        <v>64</v>
      </c>
      <c r="C241" s="34" t="s">
        <v>61</v>
      </c>
      <c r="D241" s="34" t="s">
        <v>62</v>
      </c>
      <c r="E241" s="34" t="s">
        <v>73</v>
      </c>
      <c r="F241" s="35">
        <v>33302</v>
      </c>
      <c r="G241" s="35">
        <v>3007</v>
      </c>
      <c r="H241" s="36">
        <v>9.0300000000000005E-2</v>
      </c>
      <c r="I241" s="37">
        <v>0.28000000000000003</v>
      </c>
      <c r="J241" s="37">
        <v>841.96</v>
      </c>
      <c r="K241" s="35">
        <v>95</v>
      </c>
      <c r="L241" s="37">
        <v>8.86</v>
      </c>
      <c r="M241" s="37">
        <v>3253.81</v>
      </c>
      <c r="N241" s="38">
        <v>3.86</v>
      </c>
    </row>
    <row r="242" spans="1:14" x14ac:dyDescent="0.3">
      <c r="A242" s="33">
        <v>45647</v>
      </c>
      <c r="B242" s="34" t="s">
        <v>60</v>
      </c>
      <c r="C242" s="34" t="s">
        <v>70</v>
      </c>
      <c r="D242" s="34" t="s">
        <v>71</v>
      </c>
      <c r="E242" s="34" t="s">
        <v>69</v>
      </c>
      <c r="F242" s="35">
        <v>70206</v>
      </c>
      <c r="G242" s="35">
        <v>3945</v>
      </c>
      <c r="H242" s="36">
        <v>5.62E-2</v>
      </c>
      <c r="I242" s="37">
        <v>3.6</v>
      </c>
      <c r="J242" s="37">
        <v>14202</v>
      </c>
      <c r="K242" s="35">
        <v>248</v>
      </c>
      <c r="L242" s="37">
        <v>57.27</v>
      </c>
      <c r="M242" s="37">
        <v>37055.99</v>
      </c>
      <c r="N242" s="38">
        <v>2.61</v>
      </c>
    </row>
    <row r="243" spans="1:14" x14ac:dyDescent="0.3">
      <c r="A243" s="33">
        <v>45339</v>
      </c>
      <c r="B243" s="34" t="s">
        <v>74</v>
      </c>
      <c r="C243" s="34" t="s">
        <v>67</v>
      </c>
      <c r="D243" s="34" t="s">
        <v>76</v>
      </c>
      <c r="E243" s="34" t="s">
        <v>72</v>
      </c>
      <c r="F243" s="35">
        <v>16094</v>
      </c>
      <c r="G243" s="35">
        <v>616</v>
      </c>
      <c r="H243" s="36">
        <v>3.8300000000000001E-2</v>
      </c>
      <c r="I243" s="37">
        <v>2.29</v>
      </c>
      <c r="J243" s="37">
        <v>1410.64</v>
      </c>
      <c r="K243" s="35">
        <v>40</v>
      </c>
      <c r="L243" s="37">
        <v>35.270000000000003</v>
      </c>
      <c r="M243" s="37">
        <v>8923.08</v>
      </c>
      <c r="N243" s="38">
        <v>6.33</v>
      </c>
    </row>
    <row r="244" spans="1:14" x14ac:dyDescent="0.3">
      <c r="A244" s="33">
        <v>45446</v>
      </c>
      <c r="B244" s="34" t="s">
        <v>74</v>
      </c>
      <c r="C244" s="34" t="s">
        <v>67</v>
      </c>
      <c r="D244" s="34" t="s">
        <v>62</v>
      </c>
      <c r="E244" s="34" t="s">
        <v>63</v>
      </c>
      <c r="F244" s="35">
        <v>182718</v>
      </c>
      <c r="G244" s="35">
        <v>2558</v>
      </c>
      <c r="H244" s="36">
        <v>1.4E-2</v>
      </c>
      <c r="I244" s="37">
        <v>1.36</v>
      </c>
      <c r="J244" s="37">
        <v>3478.88</v>
      </c>
      <c r="K244" s="35">
        <v>124</v>
      </c>
      <c r="L244" s="37">
        <v>28.06</v>
      </c>
      <c r="M244" s="37">
        <v>28756.15</v>
      </c>
      <c r="N244" s="38">
        <v>8.27</v>
      </c>
    </row>
    <row r="245" spans="1:14" x14ac:dyDescent="0.3">
      <c r="A245" s="33">
        <v>45505</v>
      </c>
      <c r="B245" s="34" t="s">
        <v>64</v>
      </c>
      <c r="C245" s="34" t="s">
        <v>61</v>
      </c>
      <c r="D245" s="34" t="s">
        <v>65</v>
      </c>
      <c r="E245" s="34" t="s">
        <v>77</v>
      </c>
      <c r="F245" s="35">
        <v>66169</v>
      </c>
      <c r="G245" s="35">
        <v>2057</v>
      </c>
      <c r="H245" s="36">
        <v>3.1099999999999999E-2</v>
      </c>
      <c r="I245" s="37">
        <v>1.49</v>
      </c>
      <c r="J245" s="37">
        <v>3064.93</v>
      </c>
      <c r="K245" s="35">
        <v>136</v>
      </c>
      <c r="L245" s="37">
        <v>22.54</v>
      </c>
      <c r="M245" s="37">
        <v>39364.99</v>
      </c>
      <c r="N245" s="38">
        <v>12.84</v>
      </c>
    </row>
    <row r="246" spans="1:14" x14ac:dyDescent="0.3">
      <c r="A246" s="33">
        <v>45304</v>
      </c>
      <c r="B246" s="34" t="s">
        <v>74</v>
      </c>
      <c r="C246" s="34" t="s">
        <v>70</v>
      </c>
      <c r="D246" s="34" t="s">
        <v>71</v>
      </c>
      <c r="E246" s="34" t="s">
        <v>77</v>
      </c>
      <c r="F246" s="35">
        <v>24404</v>
      </c>
      <c r="G246" s="35">
        <v>710</v>
      </c>
      <c r="H246" s="36">
        <v>2.9100000000000001E-2</v>
      </c>
      <c r="I246" s="37">
        <v>0.61</v>
      </c>
      <c r="J246" s="37">
        <v>433.1</v>
      </c>
      <c r="K246" s="35">
        <v>10</v>
      </c>
      <c r="L246" s="37">
        <v>43.31</v>
      </c>
      <c r="M246" s="37">
        <v>923.15</v>
      </c>
      <c r="N246" s="38">
        <v>2.13</v>
      </c>
    </row>
    <row r="247" spans="1:14" x14ac:dyDescent="0.3">
      <c r="A247" s="33">
        <v>45435</v>
      </c>
      <c r="B247" s="34" t="s">
        <v>64</v>
      </c>
      <c r="C247" s="34" t="s">
        <v>70</v>
      </c>
      <c r="D247" s="34" t="s">
        <v>65</v>
      </c>
      <c r="E247" s="34" t="s">
        <v>78</v>
      </c>
      <c r="F247" s="35">
        <v>30517</v>
      </c>
      <c r="G247" s="35">
        <v>2575</v>
      </c>
      <c r="H247" s="36">
        <v>8.4400000000000003E-2</v>
      </c>
      <c r="I247" s="37">
        <v>0.8</v>
      </c>
      <c r="J247" s="37">
        <v>2060</v>
      </c>
      <c r="K247" s="35">
        <v>205</v>
      </c>
      <c r="L247" s="37">
        <v>10.050000000000001</v>
      </c>
      <c r="M247" s="37">
        <v>7811.94</v>
      </c>
      <c r="N247" s="38">
        <v>3.79</v>
      </c>
    </row>
    <row r="248" spans="1:14" x14ac:dyDescent="0.3">
      <c r="A248" s="33">
        <v>45386</v>
      </c>
      <c r="B248" s="34" t="s">
        <v>64</v>
      </c>
      <c r="C248" s="34" t="s">
        <v>67</v>
      </c>
      <c r="D248" s="34" t="s">
        <v>76</v>
      </c>
      <c r="E248" s="34" t="s">
        <v>78</v>
      </c>
      <c r="F248" s="35">
        <v>145148</v>
      </c>
      <c r="G248" s="35">
        <v>5762</v>
      </c>
      <c r="H248" s="36">
        <v>3.9699999999999999E-2</v>
      </c>
      <c r="I248" s="37">
        <v>1.49</v>
      </c>
      <c r="J248" s="37">
        <v>8585.3799999999992</v>
      </c>
      <c r="K248" s="35">
        <v>213</v>
      </c>
      <c r="L248" s="37">
        <v>40.31</v>
      </c>
      <c r="M248" s="37">
        <v>10475.219999999999</v>
      </c>
      <c r="N248" s="38">
        <v>1.22</v>
      </c>
    </row>
    <row r="249" spans="1:14" x14ac:dyDescent="0.3">
      <c r="A249" s="33">
        <v>45341</v>
      </c>
      <c r="B249" s="34" t="s">
        <v>60</v>
      </c>
      <c r="C249" s="34" t="s">
        <v>75</v>
      </c>
      <c r="D249" s="34" t="s">
        <v>62</v>
      </c>
      <c r="E249" s="34" t="s">
        <v>72</v>
      </c>
      <c r="F249" s="35">
        <v>37101</v>
      </c>
      <c r="G249" s="35">
        <v>2166</v>
      </c>
      <c r="H249" s="36">
        <v>5.8400000000000001E-2</v>
      </c>
      <c r="I249" s="37">
        <v>2.95</v>
      </c>
      <c r="J249" s="37">
        <v>6389.7</v>
      </c>
      <c r="K249" s="35">
        <v>45</v>
      </c>
      <c r="L249" s="37">
        <v>141.99</v>
      </c>
      <c r="M249" s="37">
        <v>3868.37</v>
      </c>
      <c r="N249" s="38">
        <v>0.61</v>
      </c>
    </row>
    <row r="250" spans="1:14" x14ac:dyDescent="0.3">
      <c r="A250" s="33">
        <v>45330</v>
      </c>
      <c r="B250" s="34" t="s">
        <v>74</v>
      </c>
      <c r="C250" s="34" t="s">
        <v>61</v>
      </c>
      <c r="D250" s="34" t="s">
        <v>65</v>
      </c>
      <c r="E250" s="34" t="s">
        <v>66</v>
      </c>
      <c r="F250" s="35">
        <v>151480</v>
      </c>
      <c r="G250" s="35">
        <v>2514</v>
      </c>
      <c r="H250" s="36">
        <v>1.66E-2</v>
      </c>
      <c r="I250" s="37">
        <v>2.06</v>
      </c>
      <c r="J250" s="37">
        <v>5178.84</v>
      </c>
      <c r="K250" s="35">
        <v>72</v>
      </c>
      <c r="L250" s="37">
        <v>71.930000000000007</v>
      </c>
      <c r="M250" s="37">
        <v>4076.45</v>
      </c>
      <c r="N250" s="38">
        <v>0.79</v>
      </c>
    </row>
    <row r="251" spans="1:14" x14ac:dyDescent="0.3">
      <c r="A251" s="33">
        <v>45387</v>
      </c>
      <c r="B251" s="34" t="s">
        <v>64</v>
      </c>
      <c r="C251" s="34" t="s">
        <v>67</v>
      </c>
      <c r="D251" s="34" t="s">
        <v>65</v>
      </c>
      <c r="E251" s="34" t="s">
        <v>77</v>
      </c>
      <c r="F251" s="35">
        <v>159813</v>
      </c>
      <c r="G251" s="35">
        <v>7575</v>
      </c>
      <c r="H251" s="36">
        <v>4.7399999999999998E-2</v>
      </c>
      <c r="I251" s="37">
        <v>0.9</v>
      </c>
      <c r="J251" s="37">
        <v>6817.5</v>
      </c>
      <c r="K251" s="35">
        <v>319</v>
      </c>
      <c r="L251" s="37">
        <v>21.37</v>
      </c>
      <c r="M251" s="37">
        <v>35965.699999999997</v>
      </c>
      <c r="N251" s="38">
        <v>5.28</v>
      </c>
    </row>
    <row r="252" spans="1:14" x14ac:dyDescent="0.3">
      <c r="A252" s="33">
        <v>45556</v>
      </c>
      <c r="B252" s="34" t="s">
        <v>64</v>
      </c>
      <c r="C252" s="34" t="s">
        <v>75</v>
      </c>
      <c r="D252" s="34" t="s">
        <v>68</v>
      </c>
      <c r="E252" s="34" t="s">
        <v>66</v>
      </c>
      <c r="F252" s="35">
        <v>135956</v>
      </c>
      <c r="G252" s="35">
        <v>11529</v>
      </c>
      <c r="H252" s="36">
        <v>8.48E-2</v>
      </c>
      <c r="I252" s="37">
        <v>0.5</v>
      </c>
      <c r="J252" s="37">
        <v>5764.5</v>
      </c>
      <c r="K252" s="35">
        <v>732</v>
      </c>
      <c r="L252" s="37">
        <v>7.88</v>
      </c>
      <c r="M252" s="37">
        <v>207824.45</v>
      </c>
      <c r="N252" s="38">
        <v>36.049999999999997</v>
      </c>
    </row>
    <row r="253" spans="1:14" x14ac:dyDescent="0.3">
      <c r="A253" s="33">
        <v>45499</v>
      </c>
      <c r="B253" s="34" t="s">
        <v>60</v>
      </c>
      <c r="C253" s="34" t="s">
        <v>61</v>
      </c>
      <c r="D253" s="34" t="s">
        <v>71</v>
      </c>
      <c r="E253" s="34" t="s">
        <v>63</v>
      </c>
      <c r="F253" s="35">
        <v>70982</v>
      </c>
      <c r="G253" s="35">
        <v>2548</v>
      </c>
      <c r="H253" s="36">
        <v>3.5900000000000001E-2</v>
      </c>
      <c r="I253" s="37">
        <v>2.88</v>
      </c>
      <c r="J253" s="37">
        <v>7338.24</v>
      </c>
      <c r="K253" s="35">
        <v>117</v>
      </c>
      <c r="L253" s="37">
        <v>62.72</v>
      </c>
      <c r="M253" s="37">
        <v>32045.18</v>
      </c>
      <c r="N253" s="38">
        <v>4.37</v>
      </c>
    </row>
    <row r="254" spans="1:14" x14ac:dyDescent="0.3">
      <c r="A254" s="33">
        <v>45368</v>
      </c>
      <c r="B254" s="34" t="s">
        <v>64</v>
      </c>
      <c r="C254" s="34" t="s">
        <v>61</v>
      </c>
      <c r="D254" s="34" t="s">
        <v>68</v>
      </c>
      <c r="E254" s="34" t="s">
        <v>77</v>
      </c>
      <c r="F254" s="35">
        <v>132992</v>
      </c>
      <c r="G254" s="35">
        <v>7926</v>
      </c>
      <c r="H254" s="36">
        <v>5.96E-2</v>
      </c>
      <c r="I254" s="37">
        <v>0.64</v>
      </c>
      <c r="J254" s="37">
        <v>5072.6400000000003</v>
      </c>
      <c r="K254" s="35">
        <v>553</v>
      </c>
      <c r="L254" s="37">
        <v>9.17</v>
      </c>
      <c r="M254" s="37">
        <v>41271.279999999999</v>
      </c>
      <c r="N254" s="38">
        <v>8.14</v>
      </c>
    </row>
    <row r="255" spans="1:14" x14ac:dyDescent="0.3">
      <c r="A255" s="33">
        <v>45517</v>
      </c>
      <c r="B255" s="34" t="s">
        <v>64</v>
      </c>
      <c r="C255" s="34" t="s">
        <v>67</v>
      </c>
      <c r="D255" s="34" t="s">
        <v>68</v>
      </c>
      <c r="E255" s="34" t="s">
        <v>77</v>
      </c>
      <c r="F255" s="35">
        <v>13597</v>
      </c>
      <c r="G255" s="35">
        <v>747</v>
      </c>
      <c r="H255" s="36">
        <v>5.5E-2</v>
      </c>
      <c r="I255" s="37">
        <v>1.91</v>
      </c>
      <c r="J255" s="37">
        <v>1426.77</v>
      </c>
      <c r="K255" s="35">
        <v>25</v>
      </c>
      <c r="L255" s="37">
        <v>57.07</v>
      </c>
      <c r="M255" s="37">
        <v>5673.88</v>
      </c>
      <c r="N255" s="38">
        <v>3.98</v>
      </c>
    </row>
    <row r="256" spans="1:14" x14ac:dyDescent="0.3">
      <c r="A256" s="33">
        <v>45418</v>
      </c>
      <c r="B256" s="34" t="s">
        <v>74</v>
      </c>
      <c r="C256" s="34" t="s">
        <v>61</v>
      </c>
      <c r="D256" s="34" t="s">
        <v>65</v>
      </c>
      <c r="E256" s="34" t="s">
        <v>69</v>
      </c>
      <c r="F256" s="35">
        <v>199472</v>
      </c>
      <c r="G256" s="35">
        <v>5286</v>
      </c>
      <c r="H256" s="36">
        <v>2.6499999999999999E-2</v>
      </c>
      <c r="I256" s="37">
        <v>1.32</v>
      </c>
      <c r="J256" s="37">
        <v>6977.52</v>
      </c>
      <c r="K256" s="35">
        <v>192</v>
      </c>
      <c r="L256" s="37">
        <v>36.340000000000003</v>
      </c>
      <c r="M256" s="37">
        <v>17789.77</v>
      </c>
      <c r="N256" s="38">
        <v>2.5499999999999998</v>
      </c>
    </row>
    <row r="257" spans="1:14" x14ac:dyDescent="0.3">
      <c r="A257" s="33">
        <v>45349</v>
      </c>
      <c r="B257" s="34" t="s">
        <v>60</v>
      </c>
      <c r="C257" s="34" t="s">
        <v>61</v>
      </c>
      <c r="D257" s="34" t="s">
        <v>68</v>
      </c>
      <c r="E257" s="34" t="s">
        <v>69</v>
      </c>
      <c r="F257" s="35">
        <v>108751</v>
      </c>
      <c r="G257" s="35">
        <v>5459</v>
      </c>
      <c r="H257" s="36">
        <v>5.0200000000000002E-2</v>
      </c>
      <c r="I257" s="37">
        <v>1.43</v>
      </c>
      <c r="J257" s="37">
        <v>7806.37</v>
      </c>
      <c r="K257" s="35">
        <v>345</v>
      </c>
      <c r="L257" s="37">
        <v>22.63</v>
      </c>
      <c r="M257" s="37">
        <v>24740.95</v>
      </c>
      <c r="N257" s="38">
        <v>3.17</v>
      </c>
    </row>
    <row r="258" spans="1:14" x14ac:dyDescent="0.3">
      <c r="A258" s="33">
        <v>45650</v>
      </c>
      <c r="B258" s="34" t="s">
        <v>74</v>
      </c>
      <c r="C258" s="34" t="s">
        <v>75</v>
      </c>
      <c r="D258" s="34" t="s">
        <v>76</v>
      </c>
      <c r="E258" s="34" t="s">
        <v>77</v>
      </c>
      <c r="F258" s="35">
        <v>175591</v>
      </c>
      <c r="G258" s="35">
        <v>5864</v>
      </c>
      <c r="H258" s="36">
        <v>3.3399999999999999E-2</v>
      </c>
      <c r="I258" s="37">
        <v>0.44</v>
      </c>
      <c r="J258" s="37">
        <v>2580.16</v>
      </c>
      <c r="K258" s="35">
        <v>333</v>
      </c>
      <c r="L258" s="37">
        <v>7.75</v>
      </c>
      <c r="M258" s="37">
        <v>52097.57</v>
      </c>
      <c r="N258" s="38">
        <v>20.190000000000001</v>
      </c>
    </row>
    <row r="259" spans="1:14" x14ac:dyDescent="0.3">
      <c r="A259" s="33">
        <v>45604</v>
      </c>
      <c r="B259" s="34" t="s">
        <v>64</v>
      </c>
      <c r="C259" s="34" t="s">
        <v>61</v>
      </c>
      <c r="D259" s="34" t="s">
        <v>65</v>
      </c>
      <c r="E259" s="34" t="s">
        <v>77</v>
      </c>
      <c r="F259" s="35">
        <v>36027</v>
      </c>
      <c r="G259" s="35">
        <v>2770</v>
      </c>
      <c r="H259" s="36">
        <v>7.6899999999999996E-2</v>
      </c>
      <c r="I259" s="37">
        <v>1.08</v>
      </c>
      <c r="J259" s="37">
        <v>2991.6</v>
      </c>
      <c r="K259" s="35">
        <v>205</v>
      </c>
      <c r="L259" s="37">
        <v>14.59</v>
      </c>
      <c r="M259" s="37">
        <v>16618.849999999999</v>
      </c>
      <c r="N259" s="38">
        <v>5.56</v>
      </c>
    </row>
    <row r="260" spans="1:14" x14ac:dyDescent="0.3">
      <c r="A260" s="33">
        <v>45523</v>
      </c>
      <c r="B260" s="34" t="s">
        <v>64</v>
      </c>
      <c r="C260" s="34" t="s">
        <v>70</v>
      </c>
      <c r="D260" s="34" t="s">
        <v>76</v>
      </c>
      <c r="E260" s="34" t="s">
        <v>73</v>
      </c>
      <c r="F260" s="35">
        <v>57265</v>
      </c>
      <c r="G260" s="35">
        <v>2302</v>
      </c>
      <c r="H260" s="36">
        <v>4.02E-2</v>
      </c>
      <c r="I260" s="37">
        <v>1.3</v>
      </c>
      <c r="J260" s="37">
        <v>2992.6</v>
      </c>
      <c r="K260" s="35">
        <v>85</v>
      </c>
      <c r="L260" s="37">
        <v>35.21</v>
      </c>
      <c r="M260" s="37">
        <v>4068.49</v>
      </c>
      <c r="N260" s="38">
        <v>1.36</v>
      </c>
    </row>
    <row r="261" spans="1:14" x14ac:dyDescent="0.3">
      <c r="A261" s="33">
        <v>45491</v>
      </c>
      <c r="B261" s="34" t="s">
        <v>60</v>
      </c>
      <c r="C261" s="34" t="s">
        <v>70</v>
      </c>
      <c r="D261" s="34" t="s">
        <v>62</v>
      </c>
      <c r="E261" s="34" t="s">
        <v>77</v>
      </c>
      <c r="F261" s="35">
        <v>161904</v>
      </c>
      <c r="G261" s="35">
        <v>4727</v>
      </c>
      <c r="H261" s="36">
        <v>2.92E-2</v>
      </c>
      <c r="I261" s="37">
        <v>1.64</v>
      </c>
      <c r="J261" s="37">
        <v>7752.28</v>
      </c>
      <c r="K261" s="35">
        <v>263</v>
      </c>
      <c r="L261" s="37">
        <v>29.48</v>
      </c>
      <c r="M261" s="37">
        <v>21545.93</v>
      </c>
      <c r="N261" s="38">
        <v>2.78</v>
      </c>
    </row>
    <row r="262" spans="1:14" x14ac:dyDescent="0.3">
      <c r="A262" s="33">
        <v>45535</v>
      </c>
      <c r="B262" s="34" t="s">
        <v>60</v>
      </c>
      <c r="C262" s="34" t="s">
        <v>75</v>
      </c>
      <c r="D262" s="34" t="s">
        <v>68</v>
      </c>
      <c r="E262" s="34" t="s">
        <v>73</v>
      </c>
      <c r="F262" s="35">
        <v>49757</v>
      </c>
      <c r="G262" s="35">
        <v>1243</v>
      </c>
      <c r="H262" s="36">
        <v>2.5000000000000001E-2</v>
      </c>
      <c r="I262" s="37">
        <v>3.14</v>
      </c>
      <c r="J262" s="37">
        <v>3903.02</v>
      </c>
      <c r="K262" s="35">
        <v>39</v>
      </c>
      <c r="L262" s="37">
        <v>100.08</v>
      </c>
      <c r="M262" s="37">
        <v>4749.8999999999996</v>
      </c>
      <c r="N262" s="38">
        <v>1.22</v>
      </c>
    </row>
    <row r="263" spans="1:14" x14ac:dyDescent="0.3">
      <c r="A263" s="33">
        <v>45501</v>
      </c>
      <c r="B263" s="34" t="s">
        <v>60</v>
      </c>
      <c r="C263" s="34" t="s">
        <v>67</v>
      </c>
      <c r="D263" s="34" t="s">
        <v>65</v>
      </c>
      <c r="E263" s="34" t="s">
        <v>69</v>
      </c>
      <c r="F263" s="35">
        <v>168623</v>
      </c>
      <c r="G263" s="35">
        <v>6896</v>
      </c>
      <c r="H263" s="36">
        <v>4.0899999999999999E-2</v>
      </c>
      <c r="I263" s="37">
        <v>1.42</v>
      </c>
      <c r="J263" s="37">
        <v>9792.32</v>
      </c>
      <c r="K263" s="35">
        <v>200</v>
      </c>
      <c r="L263" s="37">
        <v>48.96</v>
      </c>
      <c r="M263" s="37">
        <v>24436.959999999999</v>
      </c>
      <c r="N263" s="38">
        <v>2.5</v>
      </c>
    </row>
    <row r="264" spans="1:14" x14ac:dyDescent="0.3">
      <c r="A264" s="33">
        <v>45541</v>
      </c>
      <c r="B264" s="34" t="s">
        <v>74</v>
      </c>
      <c r="C264" s="34" t="s">
        <v>67</v>
      </c>
      <c r="D264" s="34" t="s">
        <v>71</v>
      </c>
      <c r="E264" s="34" t="s">
        <v>73</v>
      </c>
      <c r="F264" s="35">
        <v>98079</v>
      </c>
      <c r="G264" s="35">
        <v>3226</v>
      </c>
      <c r="H264" s="36">
        <v>3.2899999999999999E-2</v>
      </c>
      <c r="I264" s="37">
        <v>2.1800000000000002</v>
      </c>
      <c r="J264" s="37">
        <v>7032.68</v>
      </c>
      <c r="K264" s="35">
        <v>44</v>
      </c>
      <c r="L264" s="37">
        <v>159.83000000000001</v>
      </c>
      <c r="M264" s="37">
        <v>1401.71</v>
      </c>
      <c r="N264" s="38">
        <v>0.2</v>
      </c>
    </row>
    <row r="265" spans="1:14" x14ac:dyDescent="0.3">
      <c r="A265" s="33">
        <v>45466</v>
      </c>
      <c r="B265" s="34" t="s">
        <v>60</v>
      </c>
      <c r="C265" s="34" t="s">
        <v>61</v>
      </c>
      <c r="D265" s="34" t="s">
        <v>65</v>
      </c>
      <c r="E265" s="34" t="s">
        <v>66</v>
      </c>
      <c r="F265" s="35">
        <v>11305</v>
      </c>
      <c r="G265" s="35">
        <v>562</v>
      </c>
      <c r="H265" s="36">
        <v>4.9799999999999997E-2</v>
      </c>
      <c r="I265" s="37">
        <v>1.72</v>
      </c>
      <c r="J265" s="37">
        <v>966.64</v>
      </c>
      <c r="K265" s="35">
        <v>42</v>
      </c>
      <c r="L265" s="37">
        <v>23.02</v>
      </c>
      <c r="M265" s="37">
        <v>8107.06</v>
      </c>
      <c r="N265" s="38">
        <v>8.39</v>
      </c>
    </row>
    <row r="266" spans="1:14" x14ac:dyDescent="0.3">
      <c r="A266" s="33">
        <v>45585</v>
      </c>
      <c r="B266" s="34" t="s">
        <v>64</v>
      </c>
      <c r="C266" s="34" t="s">
        <v>70</v>
      </c>
      <c r="D266" s="34" t="s">
        <v>68</v>
      </c>
      <c r="E266" s="34" t="s">
        <v>77</v>
      </c>
      <c r="F266" s="35">
        <v>109188</v>
      </c>
      <c r="G266" s="35">
        <v>6354</v>
      </c>
      <c r="H266" s="36">
        <v>5.8200000000000002E-2</v>
      </c>
      <c r="I266" s="37">
        <v>1.26</v>
      </c>
      <c r="J266" s="37">
        <v>8006.04</v>
      </c>
      <c r="K266" s="35">
        <v>216</v>
      </c>
      <c r="L266" s="37">
        <v>37.06</v>
      </c>
      <c r="M266" s="37">
        <v>49228.57</v>
      </c>
      <c r="N266" s="38">
        <v>6.15</v>
      </c>
    </row>
    <row r="267" spans="1:14" x14ac:dyDescent="0.3">
      <c r="A267" s="33">
        <v>45518</v>
      </c>
      <c r="B267" s="34" t="s">
        <v>74</v>
      </c>
      <c r="C267" s="34" t="s">
        <v>75</v>
      </c>
      <c r="D267" s="34" t="s">
        <v>68</v>
      </c>
      <c r="E267" s="34" t="s">
        <v>72</v>
      </c>
      <c r="F267" s="35">
        <v>73309</v>
      </c>
      <c r="G267" s="35">
        <v>2323</v>
      </c>
      <c r="H267" s="36">
        <v>3.1699999999999999E-2</v>
      </c>
      <c r="I267" s="37">
        <v>0.6</v>
      </c>
      <c r="J267" s="37">
        <v>1393.8</v>
      </c>
      <c r="K267" s="35">
        <v>39</v>
      </c>
      <c r="L267" s="37">
        <v>35.74</v>
      </c>
      <c r="M267" s="37">
        <v>1966.71</v>
      </c>
      <c r="N267" s="38">
        <v>1.41</v>
      </c>
    </row>
    <row r="268" spans="1:14" x14ac:dyDescent="0.3">
      <c r="A268" s="33">
        <v>45640</v>
      </c>
      <c r="B268" s="34" t="s">
        <v>60</v>
      </c>
      <c r="C268" s="34" t="s">
        <v>67</v>
      </c>
      <c r="D268" s="34" t="s">
        <v>68</v>
      </c>
      <c r="E268" s="34" t="s">
        <v>77</v>
      </c>
      <c r="F268" s="35">
        <v>81996</v>
      </c>
      <c r="G268" s="35">
        <v>1508</v>
      </c>
      <c r="H268" s="36">
        <v>1.84E-2</v>
      </c>
      <c r="I268" s="37">
        <v>2.33</v>
      </c>
      <c r="J268" s="37">
        <v>3513.64</v>
      </c>
      <c r="K268" s="35">
        <v>75</v>
      </c>
      <c r="L268" s="37">
        <v>46.85</v>
      </c>
      <c r="M268" s="37">
        <v>8251.24</v>
      </c>
      <c r="N268" s="38">
        <v>2.35</v>
      </c>
    </row>
    <row r="269" spans="1:14" x14ac:dyDescent="0.3">
      <c r="A269" s="33">
        <v>45385</v>
      </c>
      <c r="B269" s="34" t="s">
        <v>64</v>
      </c>
      <c r="C269" s="34" t="s">
        <v>75</v>
      </c>
      <c r="D269" s="34" t="s">
        <v>65</v>
      </c>
      <c r="E269" s="34" t="s">
        <v>66</v>
      </c>
      <c r="F269" s="35">
        <v>122192</v>
      </c>
      <c r="G269" s="35">
        <v>4398</v>
      </c>
      <c r="H269" s="36">
        <v>3.5999999999999997E-2</v>
      </c>
      <c r="I269" s="37">
        <v>0.99</v>
      </c>
      <c r="J269" s="37">
        <v>4354.0200000000004</v>
      </c>
      <c r="K269" s="35">
        <v>348</v>
      </c>
      <c r="L269" s="37">
        <v>12.51</v>
      </c>
      <c r="M269" s="37">
        <v>64414.080000000002</v>
      </c>
      <c r="N269" s="38">
        <v>14.79</v>
      </c>
    </row>
    <row r="270" spans="1:14" x14ac:dyDescent="0.3">
      <c r="A270" s="33">
        <v>45626</v>
      </c>
      <c r="B270" s="34" t="s">
        <v>60</v>
      </c>
      <c r="C270" s="34" t="s">
        <v>75</v>
      </c>
      <c r="D270" s="34" t="s">
        <v>71</v>
      </c>
      <c r="E270" s="34" t="s">
        <v>63</v>
      </c>
      <c r="F270" s="35">
        <v>79960</v>
      </c>
      <c r="G270" s="35">
        <v>1591</v>
      </c>
      <c r="H270" s="36">
        <v>1.9900000000000001E-2</v>
      </c>
      <c r="I270" s="37">
        <v>1.03</v>
      </c>
      <c r="J270" s="37">
        <v>1638.73</v>
      </c>
      <c r="K270" s="35">
        <v>55</v>
      </c>
      <c r="L270" s="37">
        <v>29.8</v>
      </c>
      <c r="M270" s="37">
        <v>15206.45</v>
      </c>
      <c r="N270" s="38">
        <v>9.2799999999999994</v>
      </c>
    </row>
    <row r="271" spans="1:14" x14ac:dyDescent="0.3">
      <c r="A271" s="33">
        <v>45601</v>
      </c>
      <c r="B271" s="34" t="s">
        <v>74</v>
      </c>
      <c r="C271" s="34" t="s">
        <v>75</v>
      </c>
      <c r="D271" s="34" t="s">
        <v>68</v>
      </c>
      <c r="E271" s="34" t="s">
        <v>78</v>
      </c>
      <c r="F271" s="35">
        <v>188804</v>
      </c>
      <c r="G271" s="35">
        <v>5267</v>
      </c>
      <c r="H271" s="36">
        <v>2.7900000000000001E-2</v>
      </c>
      <c r="I271" s="37">
        <v>2.1</v>
      </c>
      <c r="J271" s="37">
        <v>11060.7</v>
      </c>
      <c r="K271" s="35">
        <v>64</v>
      </c>
      <c r="L271" s="37">
        <v>172.82</v>
      </c>
      <c r="M271" s="37">
        <v>10138.299999999999</v>
      </c>
      <c r="N271" s="38">
        <v>0.92</v>
      </c>
    </row>
    <row r="272" spans="1:14" x14ac:dyDescent="0.3">
      <c r="A272" s="33">
        <v>45437</v>
      </c>
      <c r="B272" s="34" t="s">
        <v>74</v>
      </c>
      <c r="C272" s="34" t="s">
        <v>75</v>
      </c>
      <c r="D272" s="34" t="s">
        <v>62</v>
      </c>
      <c r="E272" s="34" t="s">
        <v>66</v>
      </c>
      <c r="F272" s="35">
        <v>80139</v>
      </c>
      <c r="G272" s="35">
        <v>2436</v>
      </c>
      <c r="H272" s="36">
        <v>3.04E-2</v>
      </c>
      <c r="I272" s="37">
        <v>1.58</v>
      </c>
      <c r="J272" s="37">
        <v>3848.88</v>
      </c>
      <c r="K272" s="35">
        <v>37</v>
      </c>
      <c r="L272" s="37">
        <v>104.02</v>
      </c>
      <c r="M272" s="37">
        <v>4653.12</v>
      </c>
      <c r="N272" s="38">
        <v>1.21</v>
      </c>
    </row>
    <row r="273" spans="1:14" x14ac:dyDescent="0.3">
      <c r="A273" s="33">
        <v>45651</v>
      </c>
      <c r="B273" s="34" t="s">
        <v>74</v>
      </c>
      <c r="C273" s="34" t="s">
        <v>70</v>
      </c>
      <c r="D273" s="34" t="s">
        <v>71</v>
      </c>
      <c r="E273" s="34" t="s">
        <v>72</v>
      </c>
      <c r="F273" s="35">
        <v>51999</v>
      </c>
      <c r="G273" s="35">
        <v>930</v>
      </c>
      <c r="H273" s="36">
        <v>1.7899999999999999E-2</v>
      </c>
      <c r="I273" s="37">
        <v>1.2</v>
      </c>
      <c r="J273" s="37">
        <v>1116</v>
      </c>
      <c r="K273" s="35">
        <v>13</v>
      </c>
      <c r="L273" s="37">
        <v>85.85</v>
      </c>
      <c r="M273" s="37">
        <v>1777.36</v>
      </c>
      <c r="N273" s="38">
        <v>1.59</v>
      </c>
    </row>
    <row r="274" spans="1:14" x14ac:dyDescent="0.3">
      <c r="A274" s="33">
        <v>45637</v>
      </c>
      <c r="B274" s="34" t="s">
        <v>60</v>
      </c>
      <c r="C274" s="34" t="s">
        <v>67</v>
      </c>
      <c r="D274" s="34" t="s">
        <v>65</v>
      </c>
      <c r="E274" s="34" t="s">
        <v>77</v>
      </c>
      <c r="F274" s="35">
        <v>119527</v>
      </c>
      <c r="G274" s="35">
        <v>6597</v>
      </c>
      <c r="H274" s="36">
        <v>5.5199999999999999E-2</v>
      </c>
      <c r="I274" s="37">
        <v>3.1</v>
      </c>
      <c r="J274" s="37">
        <v>20450.7</v>
      </c>
      <c r="K274" s="35">
        <v>497</v>
      </c>
      <c r="L274" s="37">
        <v>41.15</v>
      </c>
      <c r="M274" s="37">
        <v>137884.47</v>
      </c>
      <c r="N274" s="38">
        <v>6.74</v>
      </c>
    </row>
    <row r="275" spans="1:14" x14ac:dyDescent="0.3">
      <c r="A275" s="33">
        <v>45521</v>
      </c>
      <c r="B275" s="34" t="s">
        <v>74</v>
      </c>
      <c r="C275" s="34" t="s">
        <v>61</v>
      </c>
      <c r="D275" s="34" t="s">
        <v>62</v>
      </c>
      <c r="E275" s="34" t="s">
        <v>77</v>
      </c>
      <c r="F275" s="35">
        <v>194073</v>
      </c>
      <c r="G275" s="35">
        <v>6346</v>
      </c>
      <c r="H275" s="36">
        <v>3.27E-2</v>
      </c>
      <c r="I275" s="37">
        <v>1.8</v>
      </c>
      <c r="J275" s="37">
        <v>11422.8</v>
      </c>
      <c r="K275" s="35">
        <v>168</v>
      </c>
      <c r="L275" s="37">
        <v>67.989999999999995</v>
      </c>
      <c r="M275" s="37">
        <v>9921.3799999999992</v>
      </c>
      <c r="N275" s="38">
        <v>0.87</v>
      </c>
    </row>
    <row r="276" spans="1:14" x14ac:dyDescent="0.3">
      <c r="A276" s="33">
        <v>45562</v>
      </c>
      <c r="B276" s="34" t="s">
        <v>64</v>
      </c>
      <c r="C276" s="34" t="s">
        <v>75</v>
      </c>
      <c r="D276" s="34" t="s">
        <v>71</v>
      </c>
      <c r="E276" s="34" t="s">
        <v>66</v>
      </c>
      <c r="F276" s="35">
        <v>55599</v>
      </c>
      <c r="G276" s="35">
        <v>3697</v>
      </c>
      <c r="H276" s="36">
        <v>6.6500000000000004E-2</v>
      </c>
      <c r="I276" s="37">
        <v>1.64</v>
      </c>
      <c r="J276" s="37">
        <v>6063.08</v>
      </c>
      <c r="K276" s="35">
        <v>217</v>
      </c>
      <c r="L276" s="37">
        <v>27.94</v>
      </c>
      <c r="M276" s="37">
        <v>25513.42</v>
      </c>
      <c r="N276" s="38">
        <v>4.21</v>
      </c>
    </row>
    <row r="277" spans="1:14" x14ac:dyDescent="0.3">
      <c r="A277" s="33">
        <v>45582</v>
      </c>
      <c r="B277" s="34" t="s">
        <v>60</v>
      </c>
      <c r="C277" s="34" t="s">
        <v>67</v>
      </c>
      <c r="D277" s="34" t="s">
        <v>68</v>
      </c>
      <c r="E277" s="34" t="s">
        <v>77</v>
      </c>
      <c r="F277" s="35">
        <v>176541</v>
      </c>
      <c r="G277" s="35">
        <v>4378</v>
      </c>
      <c r="H277" s="36">
        <v>2.4799999999999999E-2</v>
      </c>
      <c r="I277" s="37">
        <v>2.87</v>
      </c>
      <c r="J277" s="37">
        <v>12564.86</v>
      </c>
      <c r="K277" s="35">
        <v>175</v>
      </c>
      <c r="L277" s="37">
        <v>71.8</v>
      </c>
      <c r="M277" s="37">
        <v>19637.27</v>
      </c>
      <c r="N277" s="38">
        <v>1.56</v>
      </c>
    </row>
    <row r="278" spans="1:14" x14ac:dyDescent="0.3">
      <c r="A278" s="33">
        <v>45466</v>
      </c>
      <c r="B278" s="34" t="s">
        <v>60</v>
      </c>
      <c r="C278" s="34" t="s">
        <v>75</v>
      </c>
      <c r="D278" s="34" t="s">
        <v>62</v>
      </c>
      <c r="E278" s="34" t="s">
        <v>63</v>
      </c>
      <c r="F278" s="35">
        <v>118710</v>
      </c>
      <c r="G278" s="35">
        <v>4036</v>
      </c>
      <c r="H278" s="36">
        <v>3.4000000000000002E-2</v>
      </c>
      <c r="I278" s="37">
        <v>2.48</v>
      </c>
      <c r="J278" s="37">
        <v>10009.280000000001</v>
      </c>
      <c r="K278" s="35">
        <v>235</v>
      </c>
      <c r="L278" s="37">
        <v>42.59</v>
      </c>
      <c r="M278" s="37">
        <v>28657.57</v>
      </c>
      <c r="N278" s="38">
        <v>2.86</v>
      </c>
    </row>
    <row r="279" spans="1:14" x14ac:dyDescent="0.3">
      <c r="A279" s="33">
        <v>45339</v>
      </c>
      <c r="B279" s="34" t="s">
        <v>64</v>
      </c>
      <c r="C279" s="34" t="s">
        <v>61</v>
      </c>
      <c r="D279" s="34" t="s">
        <v>62</v>
      </c>
      <c r="E279" s="34" t="s">
        <v>72</v>
      </c>
      <c r="F279" s="35">
        <v>113297</v>
      </c>
      <c r="G279" s="35">
        <v>9675</v>
      </c>
      <c r="H279" s="36">
        <v>8.5400000000000004E-2</v>
      </c>
      <c r="I279" s="37">
        <v>1.81</v>
      </c>
      <c r="J279" s="37">
        <v>17511.75</v>
      </c>
      <c r="K279" s="35">
        <v>380</v>
      </c>
      <c r="L279" s="37">
        <v>46.08</v>
      </c>
      <c r="M279" s="37">
        <v>16593.87</v>
      </c>
      <c r="N279" s="38">
        <v>0.95</v>
      </c>
    </row>
    <row r="280" spans="1:14" x14ac:dyDescent="0.3">
      <c r="A280" s="33">
        <v>45478</v>
      </c>
      <c r="B280" s="34" t="s">
        <v>60</v>
      </c>
      <c r="C280" s="34" t="s">
        <v>61</v>
      </c>
      <c r="D280" s="34" t="s">
        <v>62</v>
      </c>
      <c r="E280" s="34" t="s">
        <v>66</v>
      </c>
      <c r="F280" s="35">
        <v>6881</v>
      </c>
      <c r="G280" s="35">
        <v>357</v>
      </c>
      <c r="H280" s="36">
        <v>5.1999999999999998E-2</v>
      </c>
      <c r="I280" s="37">
        <v>2.29</v>
      </c>
      <c r="J280" s="37">
        <v>817.53</v>
      </c>
      <c r="K280" s="35">
        <v>5</v>
      </c>
      <c r="L280" s="37">
        <v>163.51</v>
      </c>
      <c r="M280" s="37">
        <v>872.75</v>
      </c>
      <c r="N280" s="38">
        <v>1.07</v>
      </c>
    </row>
    <row r="281" spans="1:14" x14ac:dyDescent="0.3">
      <c r="A281" s="33">
        <v>45432</v>
      </c>
      <c r="B281" s="34" t="s">
        <v>74</v>
      </c>
      <c r="C281" s="34" t="s">
        <v>70</v>
      </c>
      <c r="D281" s="34" t="s">
        <v>65</v>
      </c>
      <c r="E281" s="34" t="s">
        <v>72</v>
      </c>
      <c r="F281" s="35">
        <v>121477</v>
      </c>
      <c r="G281" s="35">
        <v>1834</v>
      </c>
      <c r="H281" s="36">
        <v>1.5100000000000001E-2</v>
      </c>
      <c r="I281" s="37">
        <v>0.49</v>
      </c>
      <c r="J281" s="37">
        <v>898.66</v>
      </c>
      <c r="K281" s="35">
        <v>98</v>
      </c>
      <c r="L281" s="37">
        <v>9.17</v>
      </c>
      <c r="M281" s="37">
        <v>10542.66</v>
      </c>
      <c r="N281" s="38">
        <v>11.73</v>
      </c>
    </row>
    <row r="282" spans="1:14" x14ac:dyDescent="0.3">
      <c r="A282" s="33">
        <v>45471</v>
      </c>
      <c r="B282" s="34" t="s">
        <v>60</v>
      </c>
      <c r="C282" s="34" t="s">
        <v>75</v>
      </c>
      <c r="D282" s="34" t="s">
        <v>71</v>
      </c>
      <c r="E282" s="34" t="s">
        <v>78</v>
      </c>
      <c r="F282" s="35">
        <v>188419</v>
      </c>
      <c r="G282" s="35">
        <v>10231</v>
      </c>
      <c r="H282" s="36">
        <v>5.4300000000000001E-2</v>
      </c>
      <c r="I282" s="37">
        <v>2.15</v>
      </c>
      <c r="J282" s="37">
        <v>21996.65</v>
      </c>
      <c r="K282" s="35">
        <v>754</v>
      </c>
      <c r="L282" s="37">
        <v>29.17</v>
      </c>
      <c r="M282" s="37">
        <v>134062.71</v>
      </c>
      <c r="N282" s="38">
        <v>6.09</v>
      </c>
    </row>
    <row r="283" spans="1:14" x14ac:dyDescent="0.3">
      <c r="A283" s="33">
        <v>45515</v>
      </c>
      <c r="B283" s="34" t="s">
        <v>74</v>
      </c>
      <c r="C283" s="34" t="s">
        <v>67</v>
      </c>
      <c r="D283" s="34" t="s">
        <v>65</v>
      </c>
      <c r="E283" s="34" t="s">
        <v>66</v>
      </c>
      <c r="F283" s="35">
        <v>46743</v>
      </c>
      <c r="G283" s="35">
        <v>1523</v>
      </c>
      <c r="H283" s="36">
        <v>3.2599999999999997E-2</v>
      </c>
      <c r="I283" s="37">
        <v>0.8</v>
      </c>
      <c r="J283" s="37">
        <v>1218.4000000000001</v>
      </c>
      <c r="K283" s="35">
        <v>51</v>
      </c>
      <c r="L283" s="37">
        <v>23.89</v>
      </c>
      <c r="M283" s="37">
        <v>5825.03</v>
      </c>
      <c r="N283" s="38">
        <v>4.78</v>
      </c>
    </row>
    <row r="284" spans="1:14" x14ac:dyDescent="0.3">
      <c r="A284" s="33">
        <v>45361</v>
      </c>
      <c r="B284" s="34" t="s">
        <v>60</v>
      </c>
      <c r="C284" s="34" t="s">
        <v>67</v>
      </c>
      <c r="D284" s="34" t="s">
        <v>62</v>
      </c>
      <c r="E284" s="34" t="s">
        <v>77</v>
      </c>
      <c r="F284" s="35">
        <v>93302</v>
      </c>
      <c r="G284" s="35">
        <v>4058</v>
      </c>
      <c r="H284" s="36">
        <v>4.3499999999999997E-2</v>
      </c>
      <c r="I284" s="37">
        <v>0.81</v>
      </c>
      <c r="J284" s="37">
        <v>3286.98</v>
      </c>
      <c r="K284" s="35">
        <v>50</v>
      </c>
      <c r="L284" s="37">
        <v>65.739999999999995</v>
      </c>
      <c r="M284" s="37">
        <v>14861.71</v>
      </c>
      <c r="N284" s="38">
        <v>4.5199999999999996</v>
      </c>
    </row>
    <row r="285" spans="1:14" x14ac:dyDescent="0.3">
      <c r="A285" s="33">
        <v>45426</v>
      </c>
      <c r="B285" s="34" t="s">
        <v>60</v>
      </c>
      <c r="C285" s="34" t="s">
        <v>61</v>
      </c>
      <c r="D285" s="34" t="s">
        <v>71</v>
      </c>
      <c r="E285" s="34" t="s">
        <v>78</v>
      </c>
      <c r="F285" s="35">
        <v>140747</v>
      </c>
      <c r="G285" s="35">
        <v>8571</v>
      </c>
      <c r="H285" s="36">
        <v>6.0900000000000003E-2</v>
      </c>
      <c r="I285" s="37">
        <v>3.25</v>
      </c>
      <c r="J285" s="37">
        <v>27855.75</v>
      </c>
      <c r="K285" s="35">
        <v>332</v>
      </c>
      <c r="L285" s="37">
        <v>83.9</v>
      </c>
      <c r="M285" s="37">
        <v>48279.89</v>
      </c>
      <c r="N285" s="38">
        <v>1.73</v>
      </c>
    </row>
    <row r="286" spans="1:14" x14ac:dyDescent="0.3">
      <c r="A286" s="33">
        <v>45398</v>
      </c>
      <c r="B286" s="34" t="s">
        <v>60</v>
      </c>
      <c r="C286" s="34" t="s">
        <v>61</v>
      </c>
      <c r="D286" s="34" t="s">
        <v>68</v>
      </c>
      <c r="E286" s="34" t="s">
        <v>78</v>
      </c>
      <c r="F286" s="35">
        <v>36831</v>
      </c>
      <c r="G286" s="35">
        <v>1572</v>
      </c>
      <c r="H286" s="36">
        <v>4.2700000000000002E-2</v>
      </c>
      <c r="I286" s="37">
        <v>3.45</v>
      </c>
      <c r="J286" s="37">
        <v>5423.4</v>
      </c>
      <c r="K286" s="35">
        <v>48</v>
      </c>
      <c r="L286" s="37">
        <v>112.99</v>
      </c>
      <c r="M286" s="37">
        <v>4165.7299999999996</v>
      </c>
      <c r="N286" s="38">
        <v>0.77</v>
      </c>
    </row>
    <row r="287" spans="1:14" x14ac:dyDescent="0.3">
      <c r="A287" s="33">
        <v>45399</v>
      </c>
      <c r="B287" s="34" t="s">
        <v>64</v>
      </c>
      <c r="C287" s="34" t="s">
        <v>75</v>
      </c>
      <c r="D287" s="34" t="s">
        <v>71</v>
      </c>
      <c r="E287" s="34" t="s">
        <v>72</v>
      </c>
      <c r="F287" s="35">
        <v>146842</v>
      </c>
      <c r="G287" s="35">
        <v>10646</v>
      </c>
      <c r="H287" s="36">
        <v>7.2499999999999995E-2</v>
      </c>
      <c r="I287" s="37">
        <v>1.23</v>
      </c>
      <c r="J287" s="37">
        <v>13094.58</v>
      </c>
      <c r="K287" s="35">
        <v>615</v>
      </c>
      <c r="L287" s="37">
        <v>21.29</v>
      </c>
      <c r="M287" s="37">
        <v>113988.39</v>
      </c>
      <c r="N287" s="38">
        <v>8.7100000000000009</v>
      </c>
    </row>
    <row r="288" spans="1:14" x14ac:dyDescent="0.3">
      <c r="A288" s="33">
        <v>45387</v>
      </c>
      <c r="B288" s="34" t="s">
        <v>74</v>
      </c>
      <c r="C288" s="34" t="s">
        <v>75</v>
      </c>
      <c r="D288" s="34" t="s">
        <v>65</v>
      </c>
      <c r="E288" s="34" t="s">
        <v>69</v>
      </c>
      <c r="F288" s="35">
        <v>69892</v>
      </c>
      <c r="G288" s="35">
        <v>2851</v>
      </c>
      <c r="H288" s="36">
        <v>4.0800000000000003E-2</v>
      </c>
      <c r="I288" s="37">
        <v>0.78</v>
      </c>
      <c r="J288" s="37">
        <v>2223.7800000000002</v>
      </c>
      <c r="K288" s="35">
        <v>52</v>
      </c>
      <c r="L288" s="37">
        <v>42.77</v>
      </c>
      <c r="M288" s="37">
        <v>11407.42</v>
      </c>
      <c r="N288" s="38">
        <v>5.13</v>
      </c>
    </row>
    <row r="289" spans="1:14" x14ac:dyDescent="0.3">
      <c r="A289" s="33">
        <v>45380</v>
      </c>
      <c r="B289" s="34" t="s">
        <v>60</v>
      </c>
      <c r="C289" s="34" t="s">
        <v>70</v>
      </c>
      <c r="D289" s="34" t="s">
        <v>71</v>
      </c>
      <c r="E289" s="34" t="s">
        <v>66</v>
      </c>
      <c r="F289" s="35">
        <v>118985</v>
      </c>
      <c r="G289" s="35">
        <v>4545</v>
      </c>
      <c r="H289" s="36">
        <v>3.8199999999999998E-2</v>
      </c>
      <c r="I289" s="37">
        <v>3.23</v>
      </c>
      <c r="J289" s="37">
        <v>14680.35</v>
      </c>
      <c r="K289" s="35">
        <v>259</v>
      </c>
      <c r="L289" s="37">
        <v>56.68</v>
      </c>
      <c r="M289" s="37">
        <v>58417.120000000003</v>
      </c>
      <c r="N289" s="38">
        <v>3.98</v>
      </c>
    </row>
    <row r="290" spans="1:14" x14ac:dyDescent="0.3">
      <c r="A290" s="33">
        <v>45485</v>
      </c>
      <c r="B290" s="34" t="s">
        <v>74</v>
      </c>
      <c r="C290" s="34" t="s">
        <v>75</v>
      </c>
      <c r="D290" s="34" t="s">
        <v>76</v>
      </c>
      <c r="E290" s="34" t="s">
        <v>77</v>
      </c>
      <c r="F290" s="35">
        <v>12452</v>
      </c>
      <c r="G290" s="35">
        <v>280</v>
      </c>
      <c r="H290" s="36">
        <v>2.2499999999999999E-2</v>
      </c>
      <c r="I290" s="37">
        <v>1.23</v>
      </c>
      <c r="J290" s="37">
        <v>344.4</v>
      </c>
      <c r="K290" s="35">
        <v>18</v>
      </c>
      <c r="L290" s="37">
        <v>19.13</v>
      </c>
      <c r="M290" s="37">
        <v>4734.22</v>
      </c>
      <c r="N290" s="38">
        <v>13.75</v>
      </c>
    </row>
    <row r="291" spans="1:14" x14ac:dyDescent="0.3">
      <c r="A291" s="33">
        <v>45313</v>
      </c>
      <c r="B291" s="34" t="s">
        <v>60</v>
      </c>
      <c r="C291" s="34" t="s">
        <v>75</v>
      </c>
      <c r="D291" s="34" t="s">
        <v>65</v>
      </c>
      <c r="E291" s="34" t="s">
        <v>63</v>
      </c>
      <c r="F291" s="35">
        <v>85077</v>
      </c>
      <c r="G291" s="35">
        <v>4032</v>
      </c>
      <c r="H291" s="36">
        <v>4.7399999999999998E-2</v>
      </c>
      <c r="I291" s="37">
        <v>2.84</v>
      </c>
      <c r="J291" s="37">
        <v>11450.88</v>
      </c>
      <c r="K291" s="35">
        <v>253</v>
      </c>
      <c r="L291" s="37">
        <v>45.26</v>
      </c>
      <c r="M291" s="37">
        <v>13168.69</v>
      </c>
      <c r="N291" s="38">
        <v>1.1499999999999999</v>
      </c>
    </row>
    <row r="292" spans="1:14" x14ac:dyDescent="0.3">
      <c r="A292" s="33">
        <v>45522</v>
      </c>
      <c r="B292" s="34" t="s">
        <v>64</v>
      </c>
      <c r="C292" s="34" t="s">
        <v>61</v>
      </c>
      <c r="D292" s="34" t="s">
        <v>62</v>
      </c>
      <c r="E292" s="34" t="s">
        <v>77</v>
      </c>
      <c r="F292" s="35">
        <v>39782</v>
      </c>
      <c r="G292" s="35">
        <v>3393</v>
      </c>
      <c r="H292" s="36">
        <v>8.5300000000000001E-2</v>
      </c>
      <c r="I292" s="37">
        <v>1.71</v>
      </c>
      <c r="J292" s="37">
        <v>5802.03</v>
      </c>
      <c r="K292" s="35">
        <v>143</v>
      </c>
      <c r="L292" s="37">
        <v>40.57</v>
      </c>
      <c r="M292" s="37">
        <v>23555.27</v>
      </c>
      <c r="N292" s="38">
        <v>4.0599999999999996</v>
      </c>
    </row>
    <row r="293" spans="1:14" x14ac:dyDescent="0.3">
      <c r="A293" s="33">
        <v>45395</v>
      </c>
      <c r="B293" s="34" t="s">
        <v>60</v>
      </c>
      <c r="C293" s="34" t="s">
        <v>67</v>
      </c>
      <c r="D293" s="34" t="s">
        <v>65</v>
      </c>
      <c r="E293" s="34" t="s">
        <v>78</v>
      </c>
      <c r="F293" s="35">
        <v>192135</v>
      </c>
      <c r="G293" s="35">
        <v>10663</v>
      </c>
      <c r="H293" s="36">
        <v>5.5500000000000001E-2</v>
      </c>
      <c r="I293" s="37">
        <v>1.78</v>
      </c>
      <c r="J293" s="37">
        <v>18980.14</v>
      </c>
      <c r="K293" s="35">
        <v>741</v>
      </c>
      <c r="L293" s="37">
        <v>25.61</v>
      </c>
      <c r="M293" s="37">
        <v>213823.35999999999</v>
      </c>
      <c r="N293" s="38">
        <v>11.27</v>
      </c>
    </row>
    <row r="294" spans="1:14" x14ac:dyDescent="0.3">
      <c r="A294" s="33">
        <v>45386</v>
      </c>
      <c r="B294" s="34" t="s">
        <v>74</v>
      </c>
      <c r="C294" s="34" t="s">
        <v>61</v>
      </c>
      <c r="D294" s="34" t="s">
        <v>68</v>
      </c>
      <c r="E294" s="34" t="s">
        <v>77</v>
      </c>
      <c r="F294" s="35">
        <v>156317</v>
      </c>
      <c r="G294" s="35">
        <v>5924</v>
      </c>
      <c r="H294" s="36">
        <v>3.7900000000000003E-2</v>
      </c>
      <c r="I294" s="37">
        <v>0.71</v>
      </c>
      <c r="J294" s="37">
        <v>4206.04</v>
      </c>
      <c r="K294" s="35">
        <v>464</v>
      </c>
      <c r="L294" s="37">
        <v>9.06</v>
      </c>
      <c r="M294" s="37">
        <v>64623.96</v>
      </c>
      <c r="N294" s="38">
        <v>15.36</v>
      </c>
    </row>
    <row r="295" spans="1:14" x14ac:dyDescent="0.3">
      <c r="A295" s="33">
        <v>45337</v>
      </c>
      <c r="B295" s="34" t="s">
        <v>60</v>
      </c>
      <c r="C295" s="34" t="s">
        <v>70</v>
      </c>
      <c r="D295" s="34" t="s">
        <v>62</v>
      </c>
      <c r="E295" s="34" t="s">
        <v>72</v>
      </c>
      <c r="F295" s="35">
        <v>39754</v>
      </c>
      <c r="G295" s="35">
        <v>2007</v>
      </c>
      <c r="H295" s="36">
        <v>5.0500000000000003E-2</v>
      </c>
      <c r="I295" s="37">
        <v>2.33</v>
      </c>
      <c r="J295" s="37">
        <v>4676.3100000000004</v>
      </c>
      <c r="K295" s="35">
        <v>108</v>
      </c>
      <c r="L295" s="37">
        <v>43.3</v>
      </c>
      <c r="M295" s="37">
        <v>6981.98</v>
      </c>
      <c r="N295" s="38">
        <v>1.49</v>
      </c>
    </row>
    <row r="296" spans="1:14" x14ac:dyDescent="0.3">
      <c r="A296" s="33">
        <v>45567</v>
      </c>
      <c r="B296" s="34" t="s">
        <v>74</v>
      </c>
      <c r="C296" s="34" t="s">
        <v>70</v>
      </c>
      <c r="D296" s="34" t="s">
        <v>65</v>
      </c>
      <c r="E296" s="34" t="s">
        <v>63</v>
      </c>
      <c r="F296" s="35">
        <v>84526</v>
      </c>
      <c r="G296" s="35">
        <v>2214</v>
      </c>
      <c r="H296" s="36">
        <v>2.6200000000000001E-2</v>
      </c>
      <c r="I296" s="37">
        <v>0.44</v>
      </c>
      <c r="J296" s="37">
        <v>974.16</v>
      </c>
      <c r="K296" s="35">
        <v>117</v>
      </c>
      <c r="L296" s="37">
        <v>8.33</v>
      </c>
      <c r="M296" s="37">
        <v>30360.22</v>
      </c>
      <c r="N296" s="38">
        <v>31.17</v>
      </c>
    </row>
    <row r="297" spans="1:14" x14ac:dyDescent="0.3">
      <c r="A297" s="33">
        <v>45531</v>
      </c>
      <c r="B297" s="34" t="s">
        <v>60</v>
      </c>
      <c r="C297" s="34" t="s">
        <v>70</v>
      </c>
      <c r="D297" s="34" t="s">
        <v>71</v>
      </c>
      <c r="E297" s="34" t="s">
        <v>66</v>
      </c>
      <c r="F297" s="35">
        <v>159226</v>
      </c>
      <c r="G297" s="35">
        <v>5206</v>
      </c>
      <c r="H297" s="36">
        <v>3.27E-2</v>
      </c>
      <c r="I297" s="37">
        <v>0.97</v>
      </c>
      <c r="J297" s="37">
        <v>5049.82</v>
      </c>
      <c r="K297" s="35">
        <v>137</v>
      </c>
      <c r="L297" s="37">
        <v>36.86</v>
      </c>
      <c r="M297" s="37">
        <v>27701.27</v>
      </c>
      <c r="N297" s="38">
        <v>5.49</v>
      </c>
    </row>
    <row r="298" spans="1:14" x14ac:dyDescent="0.3">
      <c r="A298" s="33">
        <v>45566</v>
      </c>
      <c r="B298" s="34" t="s">
        <v>64</v>
      </c>
      <c r="C298" s="34" t="s">
        <v>75</v>
      </c>
      <c r="D298" s="34" t="s">
        <v>71</v>
      </c>
      <c r="E298" s="34" t="s">
        <v>73</v>
      </c>
      <c r="F298" s="35">
        <v>178503</v>
      </c>
      <c r="G298" s="35">
        <v>9639</v>
      </c>
      <c r="H298" s="36">
        <v>5.3999999999999999E-2</v>
      </c>
      <c r="I298" s="37">
        <v>0.56000000000000005</v>
      </c>
      <c r="J298" s="37">
        <v>5397.84</v>
      </c>
      <c r="K298" s="35">
        <v>146</v>
      </c>
      <c r="L298" s="37">
        <v>36.97</v>
      </c>
      <c r="M298" s="37">
        <v>40162.93</v>
      </c>
      <c r="N298" s="38">
        <v>7.44</v>
      </c>
    </row>
    <row r="299" spans="1:14" x14ac:dyDescent="0.3">
      <c r="A299" s="33">
        <v>45431</v>
      </c>
      <c r="B299" s="34" t="s">
        <v>64</v>
      </c>
      <c r="C299" s="34" t="s">
        <v>70</v>
      </c>
      <c r="D299" s="34" t="s">
        <v>71</v>
      </c>
      <c r="E299" s="34" t="s">
        <v>77</v>
      </c>
      <c r="F299" s="35">
        <v>176946</v>
      </c>
      <c r="G299" s="35">
        <v>13784</v>
      </c>
      <c r="H299" s="36">
        <v>7.7899999999999997E-2</v>
      </c>
      <c r="I299" s="37">
        <v>0.86</v>
      </c>
      <c r="J299" s="37">
        <v>11854.24</v>
      </c>
      <c r="K299" s="35">
        <v>743</v>
      </c>
      <c r="L299" s="37">
        <v>15.95</v>
      </c>
      <c r="M299" s="37">
        <v>208986.19</v>
      </c>
      <c r="N299" s="38">
        <v>17.63</v>
      </c>
    </row>
    <row r="300" spans="1:14" x14ac:dyDescent="0.3">
      <c r="A300" s="33">
        <v>45506</v>
      </c>
      <c r="B300" s="34" t="s">
        <v>74</v>
      </c>
      <c r="C300" s="34" t="s">
        <v>75</v>
      </c>
      <c r="D300" s="34" t="s">
        <v>62</v>
      </c>
      <c r="E300" s="34" t="s">
        <v>72</v>
      </c>
      <c r="F300" s="35">
        <v>163124</v>
      </c>
      <c r="G300" s="35">
        <v>4273</v>
      </c>
      <c r="H300" s="36">
        <v>2.6200000000000001E-2</v>
      </c>
      <c r="I300" s="37">
        <v>0.91</v>
      </c>
      <c r="J300" s="37">
        <v>3888.43</v>
      </c>
      <c r="K300" s="35">
        <v>239</v>
      </c>
      <c r="L300" s="37">
        <v>16.27</v>
      </c>
      <c r="M300" s="37">
        <v>71554.77</v>
      </c>
      <c r="N300" s="38">
        <v>18.399999999999999</v>
      </c>
    </row>
    <row r="301" spans="1:14" x14ac:dyDescent="0.3">
      <c r="A301" s="33">
        <v>45464</v>
      </c>
      <c r="B301" s="34" t="s">
        <v>74</v>
      </c>
      <c r="C301" s="34" t="s">
        <v>75</v>
      </c>
      <c r="D301" s="34" t="s">
        <v>65</v>
      </c>
      <c r="E301" s="34" t="s">
        <v>63</v>
      </c>
      <c r="F301" s="35">
        <v>150486</v>
      </c>
      <c r="G301" s="35">
        <v>6230</v>
      </c>
      <c r="H301" s="36">
        <v>4.1399999999999999E-2</v>
      </c>
      <c r="I301" s="37">
        <v>1.21</v>
      </c>
      <c r="J301" s="37">
        <v>7538.3</v>
      </c>
      <c r="K301" s="35">
        <v>243</v>
      </c>
      <c r="L301" s="37">
        <v>31.02</v>
      </c>
      <c r="M301" s="37">
        <v>55217.61</v>
      </c>
      <c r="N301" s="38">
        <v>7.32</v>
      </c>
    </row>
    <row r="302" spans="1:14" x14ac:dyDescent="0.3">
      <c r="A302" s="33">
        <v>45429</v>
      </c>
      <c r="B302" s="34" t="s">
        <v>60</v>
      </c>
      <c r="C302" s="34" t="s">
        <v>61</v>
      </c>
      <c r="D302" s="34" t="s">
        <v>76</v>
      </c>
      <c r="E302" s="34" t="s">
        <v>66</v>
      </c>
      <c r="F302" s="35">
        <v>88384</v>
      </c>
      <c r="G302" s="35">
        <v>3641</v>
      </c>
      <c r="H302" s="36">
        <v>4.1200000000000001E-2</v>
      </c>
      <c r="I302" s="37">
        <v>1.22</v>
      </c>
      <c r="J302" s="37">
        <v>4442.0200000000004</v>
      </c>
      <c r="K302" s="35">
        <v>89</v>
      </c>
      <c r="L302" s="37">
        <v>49.91</v>
      </c>
      <c r="M302" s="37">
        <v>4077.32</v>
      </c>
      <c r="N302" s="38">
        <v>0.92</v>
      </c>
    </row>
    <row r="303" spans="1:14" x14ac:dyDescent="0.3">
      <c r="A303" s="33">
        <v>45480</v>
      </c>
      <c r="B303" s="34" t="s">
        <v>74</v>
      </c>
      <c r="C303" s="34" t="s">
        <v>75</v>
      </c>
      <c r="D303" s="34" t="s">
        <v>71</v>
      </c>
      <c r="E303" s="34" t="s">
        <v>69</v>
      </c>
      <c r="F303" s="35">
        <v>74922</v>
      </c>
      <c r="G303" s="35">
        <v>1333</v>
      </c>
      <c r="H303" s="36">
        <v>1.78E-2</v>
      </c>
      <c r="I303" s="37">
        <v>1.32</v>
      </c>
      <c r="J303" s="37">
        <v>1759.56</v>
      </c>
      <c r="K303" s="35">
        <v>95</v>
      </c>
      <c r="L303" s="37">
        <v>18.52</v>
      </c>
      <c r="M303" s="37">
        <v>17171.740000000002</v>
      </c>
      <c r="N303" s="38">
        <v>9.76</v>
      </c>
    </row>
    <row r="304" spans="1:14" x14ac:dyDescent="0.3">
      <c r="A304" s="33">
        <v>45308</v>
      </c>
      <c r="B304" s="34" t="s">
        <v>64</v>
      </c>
      <c r="C304" s="34" t="s">
        <v>67</v>
      </c>
      <c r="D304" s="34" t="s">
        <v>65</v>
      </c>
      <c r="E304" s="34" t="s">
        <v>63</v>
      </c>
      <c r="F304" s="35">
        <v>188846</v>
      </c>
      <c r="G304" s="35">
        <v>12671</v>
      </c>
      <c r="H304" s="36">
        <v>6.7100000000000007E-2</v>
      </c>
      <c r="I304" s="37">
        <v>1.37</v>
      </c>
      <c r="J304" s="37">
        <v>17359.27</v>
      </c>
      <c r="K304" s="35">
        <v>821</v>
      </c>
      <c r="L304" s="37">
        <v>21.14</v>
      </c>
      <c r="M304" s="37">
        <v>86047.94</v>
      </c>
      <c r="N304" s="38">
        <v>4.96</v>
      </c>
    </row>
    <row r="305" spans="1:14" x14ac:dyDescent="0.3">
      <c r="A305" s="33">
        <v>45378</v>
      </c>
      <c r="B305" s="34" t="s">
        <v>64</v>
      </c>
      <c r="C305" s="34" t="s">
        <v>61</v>
      </c>
      <c r="D305" s="34" t="s">
        <v>71</v>
      </c>
      <c r="E305" s="34" t="s">
        <v>66</v>
      </c>
      <c r="F305" s="35">
        <v>10209</v>
      </c>
      <c r="G305" s="35">
        <v>314</v>
      </c>
      <c r="H305" s="36">
        <v>3.0800000000000001E-2</v>
      </c>
      <c r="I305" s="37">
        <v>1.79</v>
      </c>
      <c r="J305" s="37">
        <v>562.05999999999995</v>
      </c>
      <c r="K305" s="35">
        <v>13</v>
      </c>
      <c r="L305" s="37">
        <v>43.24</v>
      </c>
      <c r="M305" s="37">
        <v>3231.96</v>
      </c>
      <c r="N305" s="38">
        <v>5.75</v>
      </c>
    </row>
    <row r="306" spans="1:14" x14ac:dyDescent="0.3">
      <c r="A306" s="33">
        <v>45623</v>
      </c>
      <c r="B306" s="34" t="s">
        <v>64</v>
      </c>
      <c r="C306" s="34" t="s">
        <v>67</v>
      </c>
      <c r="D306" s="34" t="s">
        <v>76</v>
      </c>
      <c r="E306" s="34" t="s">
        <v>77</v>
      </c>
      <c r="F306" s="35">
        <v>31140</v>
      </c>
      <c r="G306" s="35">
        <v>1712</v>
      </c>
      <c r="H306" s="36">
        <v>5.5E-2</v>
      </c>
      <c r="I306" s="37">
        <v>1.34</v>
      </c>
      <c r="J306" s="37">
        <v>2294.08</v>
      </c>
      <c r="K306" s="35">
        <v>63</v>
      </c>
      <c r="L306" s="37">
        <v>36.409999999999997</v>
      </c>
      <c r="M306" s="37">
        <v>5569.82</v>
      </c>
      <c r="N306" s="38">
        <v>2.4300000000000002</v>
      </c>
    </row>
    <row r="307" spans="1:14" x14ac:dyDescent="0.3">
      <c r="A307" s="33">
        <v>45359</v>
      </c>
      <c r="B307" s="34" t="s">
        <v>74</v>
      </c>
      <c r="C307" s="34" t="s">
        <v>67</v>
      </c>
      <c r="D307" s="34" t="s">
        <v>71</v>
      </c>
      <c r="E307" s="34" t="s">
        <v>73</v>
      </c>
      <c r="F307" s="35">
        <v>46850</v>
      </c>
      <c r="G307" s="35">
        <v>983</v>
      </c>
      <c r="H307" s="36">
        <v>2.1000000000000001E-2</v>
      </c>
      <c r="I307" s="37">
        <v>1.58</v>
      </c>
      <c r="J307" s="37">
        <v>1553.14</v>
      </c>
      <c r="K307" s="35">
        <v>38</v>
      </c>
      <c r="L307" s="37">
        <v>40.869999999999997</v>
      </c>
      <c r="M307" s="37">
        <v>10968.52</v>
      </c>
      <c r="N307" s="38">
        <v>7.06</v>
      </c>
    </row>
    <row r="308" spans="1:14" x14ac:dyDescent="0.3">
      <c r="A308" s="33">
        <v>45410</v>
      </c>
      <c r="B308" s="34" t="s">
        <v>74</v>
      </c>
      <c r="C308" s="34" t="s">
        <v>70</v>
      </c>
      <c r="D308" s="34" t="s">
        <v>65</v>
      </c>
      <c r="E308" s="34" t="s">
        <v>73</v>
      </c>
      <c r="F308" s="35">
        <v>17720</v>
      </c>
      <c r="G308" s="35">
        <v>287</v>
      </c>
      <c r="H308" s="36">
        <v>1.6199999999999999E-2</v>
      </c>
      <c r="I308" s="37">
        <v>1.41</v>
      </c>
      <c r="J308" s="37">
        <v>404.67</v>
      </c>
      <c r="K308" s="35">
        <v>4</v>
      </c>
      <c r="L308" s="37">
        <v>101.17</v>
      </c>
      <c r="M308" s="37">
        <v>597.17999999999995</v>
      </c>
      <c r="N308" s="38">
        <v>1.48</v>
      </c>
    </row>
    <row r="309" spans="1:14" x14ac:dyDescent="0.3">
      <c r="A309" s="33">
        <v>45320</v>
      </c>
      <c r="B309" s="34" t="s">
        <v>60</v>
      </c>
      <c r="C309" s="34" t="s">
        <v>67</v>
      </c>
      <c r="D309" s="34" t="s">
        <v>71</v>
      </c>
      <c r="E309" s="34" t="s">
        <v>72</v>
      </c>
      <c r="F309" s="35">
        <v>16781</v>
      </c>
      <c r="G309" s="35">
        <v>684</v>
      </c>
      <c r="H309" s="36">
        <v>4.0800000000000003E-2</v>
      </c>
      <c r="I309" s="37">
        <v>1.3</v>
      </c>
      <c r="J309" s="37">
        <v>889.2</v>
      </c>
      <c r="K309" s="35">
        <v>8</v>
      </c>
      <c r="L309" s="37">
        <v>111.15</v>
      </c>
      <c r="M309" s="37">
        <v>1435.11</v>
      </c>
      <c r="N309" s="38">
        <v>1.61</v>
      </c>
    </row>
    <row r="310" spans="1:14" x14ac:dyDescent="0.3">
      <c r="A310" s="33">
        <v>45625</v>
      </c>
      <c r="B310" s="34" t="s">
        <v>74</v>
      </c>
      <c r="C310" s="34" t="s">
        <v>67</v>
      </c>
      <c r="D310" s="34" t="s">
        <v>76</v>
      </c>
      <c r="E310" s="34" t="s">
        <v>72</v>
      </c>
      <c r="F310" s="35">
        <v>61652</v>
      </c>
      <c r="G310" s="35">
        <v>2614</v>
      </c>
      <c r="H310" s="36">
        <v>4.24E-2</v>
      </c>
      <c r="I310" s="37">
        <v>1.28</v>
      </c>
      <c r="J310" s="37">
        <v>3345.92</v>
      </c>
      <c r="K310" s="35">
        <v>133</v>
      </c>
      <c r="L310" s="37">
        <v>25.16</v>
      </c>
      <c r="M310" s="37">
        <v>20303.14</v>
      </c>
      <c r="N310" s="38">
        <v>6.07</v>
      </c>
    </row>
    <row r="311" spans="1:14" x14ac:dyDescent="0.3">
      <c r="A311" s="33">
        <v>45479</v>
      </c>
      <c r="B311" s="34" t="s">
        <v>74</v>
      </c>
      <c r="C311" s="34" t="s">
        <v>75</v>
      </c>
      <c r="D311" s="34" t="s">
        <v>65</v>
      </c>
      <c r="E311" s="34" t="s">
        <v>69</v>
      </c>
      <c r="F311" s="35">
        <v>194933</v>
      </c>
      <c r="G311" s="35">
        <v>4054</v>
      </c>
      <c r="H311" s="36">
        <v>2.0799999999999999E-2</v>
      </c>
      <c r="I311" s="37">
        <v>2.0299999999999998</v>
      </c>
      <c r="J311" s="37">
        <v>8229.6200000000008</v>
      </c>
      <c r="K311" s="35">
        <v>197</v>
      </c>
      <c r="L311" s="37">
        <v>41.77</v>
      </c>
      <c r="M311" s="37">
        <v>9992.76</v>
      </c>
      <c r="N311" s="38">
        <v>1.21</v>
      </c>
    </row>
    <row r="312" spans="1:14" x14ac:dyDescent="0.3">
      <c r="A312" s="33">
        <v>45347</v>
      </c>
      <c r="B312" s="34" t="s">
        <v>60</v>
      </c>
      <c r="C312" s="34" t="s">
        <v>61</v>
      </c>
      <c r="D312" s="34" t="s">
        <v>65</v>
      </c>
      <c r="E312" s="34" t="s">
        <v>73</v>
      </c>
      <c r="F312" s="35">
        <v>100386</v>
      </c>
      <c r="G312" s="35">
        <v>5250</v>
      </c>
      <c r="H312" s="36">
        <v>5.2299999999999999E-2</v>
      </c>
      <c r="I312" s="37">
        <v>0.98</v>
      </c>
      <c r="J312" s="37">
        <v>5145</v>
      </c>
      <c r="K312" s="35">
        <v>254</v>
      </c>
      <c r="L312" s="37">
        <v>20.260000000000002</v>
      </c>
      <c r="M312" s="37">
        <v>73673.45</v>
      </c>
      <c r="N312" s="38">
        <v>14.32</v>
      </c>
    </row>
    <row r="313" spans="1:14" x14ac:dyDescent="0.3">
      <c r="A313" s="33">
        <v>45316</v>
      </c>
      <c r="B313" s="34" t="s">
        <v>60</v>
      </c>
      <c r="C313" s="34" t="s">
        <v>61</v>
      </c>
      <c r="D313" s="34" t="s">
        <v>68</v>
      </c>
      <c r="E313" s="34" t="s">
        <v>63</v>
      </c>
      <c r="F313" s="35">
        <v>50203</v>
      </c>
      <c r="G313" s="35">
        <v>1390</v>
      </c>
      <c r="H313" s="36">
        <v>2.7699999999999999E-2</v>
      </c>
      <c r="I313" s="37">
        <v>1.95</v>
      </c>
      <c r="J313" s="37">
        <v>2710.5</v>
      </c>
      <c r="K313" s="35">
        <v>47</v>
      </c>
      <c r="L313" s="37">
        <v>57.67</v>
      </c>
      <c r="M313" s="37">
        <v>11338.98</v>
      </c>
      <c r="N313" s="38">
        <v>4.18</v>
      </c>
    </row>
    <row r="314" spans="1:14" x14ac:dyDescent="0.3">
      <c r="A314" s="33">
        <v>45305</v>
      </c>
      <c r="B314" s="34" t="s">
        <v>64</v>
      </c>
      <c r="C314" s="34" t="s">
        <v>61</v>
      </c>
      <c r="D314" s="34" t="s">
        <v>71</v>
      </c>
      <c r="E314" s="34" t="s">
        <v>77</v>
      </c>
      <c r="F314" s="35">
        <v>85428</v>
      </c>
      <c r="G314" s="35">
        <v>5134</v>
      </c>
      <c r="H314" s="36">
        <v>6.0100000000000001E-2</v>
      </c>
      <c r="I314" s="37">
        <v>0.86</v>
      </c>
      <c r="J314" s="37">
        <v>4415.24</v>
      </c>
      <c r="K314" s="35">
        <v>202</v>
      </c>
      <c r="L314" s="37">
        <v>21.86</v>
      </c>
      <c r="M314" s="37">
        <v>37603.74</v>
      </c>
      <c r="N314" s="38">
        <v>8.52</v>
      </c>
    </row>
    <row r="315" spans="1:14" x14ac:dyDescent="0.3">
      <c r="A315" s="33">
        <v>45417</v>
      </c>
      <c r="B315" s="34" t="s">
        <v>64</v>
      </c>
      <c r="C315" s="34" t="s">
        <v>67</v>
      </c>
      <c r="D315" s="34" t="s">
        <v>65</v>
      </c>
      <c r="E315" s="34" t="s">
        <v>63</v>
      </c>
      <c r="F315" s="35">
        <v>192428</v>
      </c>
      <c r="G315" s="35">
        <v>9967</v>
      </c>
      <c r="H315" s="36">
        <v>5.1799999999999999E-2</v>
      </c>
      <c r="I315" s="37">
        <v>1.6</v>
      </c>
      <c r="J315" s="37">
        <v>15947.2</v>
      </c>
      <c r="K315" s="35">
        <v>570</v>
      </c>
      <c r="L315" s="37">
        <v>27.98</v>
      </c>
      <c r="M315" s="37">
        <v>78044.55</v>
      </c>
      <c r="N315" s="38">
        <v>4.8899999999999997</v>
      </c>
    </row>
    <row r="316" spans="1:14" x14ac:dyDescent="0.3">
      <c r="A316" s="33">
        <v>45523</v>
      </c>
      <c r="B316" s="34" t="s">
        <v>60</v>
      </c>
      <c r="C316" s="34" t="s">
        <v>70</v>
      </c>
      <c r="D316" s="34" t="s">
        <v>68</v>
      </c>
      <c r="E316" s="34" t="s">
        <v>66</v>
      </c>
      <c r="F316" s="35">
        <v>33756</v>
      </c>
      <c r="G316" s="35">
        <v>2150</v>
      </c>
      <c r="H316" s="36">
        <v>6.3700000000000007E-2</v>
      </c>
      <c r="I316" s="37">
        <v>2.17</v>
      </c>
      <c r="J316" s="37">
        <v>4665.5</v>
      </c>
      <c r="K316" s="35">
        <v>108</v>
      </c>
      <c r="L316" s="37">
        <v>43.2</v>
      </c>
      <c r="M316" s="37">
        <v>7948.11</v>
      </c>
      <c r="N316" s="38">
        <v>1.7</v>
      </c>
    </row>
    <row r="317" spans="1:14" x14ac:dyDescent="0.3">
      <c r="A317" s="33">
        <v>45379</v>
      </c>
      <c r="B317" s="34" t="s">
        <v>74</v>
      </c>
      <c r="C317" s="34" t="s">
        <v>67</v>
      </c>
      <c r="D317" s="34" t="s">
        <v>62</v>
      </c>
      <c r="E317" s="34" t="s">
        <v>63</v>
      </c>
      <c r="F317" s="35">
        <v>103162</v>
      </c>
      <c r="G317" s="35">
        <v>1485</v>
      </c>
      <c r="H317" s="36">
        <v>1.44E-2</v>
      </c>
      <c r="I317" s="37">
        <v>0.97</v>
      </c>
      <c r="J317" s="37">
        <v>1440.45</v>
      </c>
      <c r="K317" s="35">
        <v>35</v>
      </c>
      <c r="L317" s="37">
        <v>41.16</v>
      </c>
      <c r="M317" s="37">
        <v>5899.5</v>
      </c>
      <c r="N317" s="38">
        <v>4.0999999999999996</v>
      </c>
    </row>
    <row r="318" spans="1:14" x14ac:dyDescent="0.3">
      <c r="A318" s="33">
        <v>45537</v>
      </c>
      <c r="B318" s="34" t="s">
        <v>60</v>
      </c>
      <c r="C318" s="34" t="s">
        <v>61</v>
      </c>
      <c r="D318" s="34" t="s">
        <v>65</v>
      </c>
      <c r="E318" s="34" t="s">
        <v>63</v>
      </c>
      <c r="F318" s="35">
        <v>142844</v>
      </c>
      <c r="G318" s="35">
        <v>2971</v>
      </c>
      <c r="H318" s="36">
        <v>2.0799999999999999E-2</v>
      </c>
      <c r="I318" s="37">
        <v>1.69</v>
      </c>
      <c r="J318" s="37">
        <v>5020.99</v>
      </c>
      <c r="K318" s="35">
        <v>95</v>
      </c>
      <c r="L318" s="37">
        <v>52.85</v>
      </c>
      <c r="M318" s="37">
        <v>5534.94</v>
      </c>
      <c r="N318" s="38">
        <v>1.1000000000000001</v>
      </c>
    </row>
    <row r="319" spans="1:14" x14ac:dyDescent="0.3">
      <c r="A319" s="33">
        <v>45443</v>
      </c>
      <c r="B319" s="34" t="s">
        <v>60</v>
      </c>
      <c r="C319" s="34" t="s">
        <v>61</v>
      </c>
      <c r="D319" s="34" t="s">
        <v>62</v>
      </c>
      <c r="E319" s="34" t="s">
        <v>69</v>
      </c>
      <c r="F319" s="35">
        <v>50201</v>
      </c>
      <c r="G319" s="35">
        <v>2198</v>
      </c>
      <c r="H319" s="36">
        <v>4.3799999999999999E-2</v>
      </c>
      <c r="I319" s="37">
        <v>2.25</v>
      </c>
      <c r="J319" s="37">
        <v>4945.5</v>
      </c>
      <c r="K319" s="35">
        <v>112</v>
      </c>
      <c r="L319" s="37">
        <v>44.16</v>
      </c>
      <c r="M319" s="37">
        <v>12918.19</v>
      </c>
      <c r="N319" s="38">
        <v>2.61</v>
      </c>
    </row>
    <row r="320" spans="1:14" x14ac:dyDescent="0.3">
      <c r="A320" s="33">
        <v>45307</v>
      </c>
      <c r="B320" s="34" t="s">
        <v>74</v>
      </c>
      <c r="C320" s="34" t="s">
        <v>67</v>
      </c>
      <c r="D320" s="34" t="s">
        <v>62</v>
      </c>
      <c r="E320" s="34" t="s">
        <v>69</v>
      </c>
      <c r="F320" s="35">
        <v>143421</v>
      </c>
      <c r="G320" s="35">
        <v>3542</v>
      </c>
      <c r="H320" s="36">
        <v>2.47E-2</v>
      </c>
      <c r="I320" s="37">
        <v>0.86</v>
      </c>
      <c r="J320" s="37">
        <v>3046.12</v>
      </c>
      <c r="K320" s="35">
        <v>181</v>
      </c>
      <c r="L320" s="37">
        <v>16.829999999999998</v>
      </c>
      <c r="M320" s="37">
        <v>26273.040000000001</v>
      </c>
      <c r="N320" s="38">
        <v>8.6300000000000008</v>
      </c>
    </row>
    <row r="321" spans="1:14" x14ac:dyDescent="0.3">
      <c r="A321" s="33">
        <v>45578</v>
      </c>
      <c r="B321" s="34" t="s">
        <v>74</v>
      </c>
      <c r="C321" s="34" t="s">
        <v>70</v>
      </c>
      <c r="D321" s="34" t="s">
        <v>62</v>
      </c>
      <c r="E321" s="34" t="s">
        <v>78</v>
      </c>
      <c r="F321" s="35">
        <v>71537</v>
      </c>
      <c r="G321" s="35">
        <v>1809</v>
      </c>
      <c r="H321" s="36">
        <v>2.53E-2</v>
      </c>
      <c r="I321" s="37">
        <v>1.65</v>
      </c>
      <c r="J321" s="37">
        <v>2984.85</v>
      </c>
      <c r="K321" s="35">
        <v>57</v>
      </c>
      <c r="L321" s="37">
        <v>52.37</v>
      </c>
      <c r="M321" s="37">
        <v>6227.5</v>
      </c>
      <c r="N321" s="38">
        <v>2.09</v>
      </c>
    </row>
    <row r="322" spans="1:14" x14ac:dyDescent="0.3">
      <c r="A322" s="33">
        <v>45599</v>
      </c>
      <c r="B322" s="34" t="s">
        <v>60</v>
      </c>
      <c r="C322" s="34" t="s">
        <v>67</v>
      </c>
      <c r="D322" s="34" t="s">
        <v>62</v>
      </c>
      <c r="E322" s="34" t="s">
        <v>69</v>
      </c>
      <c r="F322" s="35">
        <v>198604</v>
      </c>
      <c r="G322" s="35">
        <v>8162</v>
      </c>
      <c r="H322" s="36">
        <v>4.1099999999999998E-2</v>
      </c>
      <c r="I322" s="37">
        <v>3.1</v>
      </c>
      <c r="J322" s="37">
        <v>25302.2</v>
      </c>
      <c r="K322" s="35">
        <v>584</v>
      </c>
      <c r="L322" s="37">
        <v>43.33</v>
      </c>
      <c r="M322" s="37">
        <v>25281.15</v>
      </c>
      <c r="N322" s="38">
        <v>1</v>
      </c>
    </row>
    <row r="323" spans="1:14" x14ac:dyDescent="0.3">
      <c r="A323" s="33">
        <v>45390</v>
      </c>
      <c r="B323" s="34" t="s">
        <v>60</v>
      </c>
      <c r="C323" s="34" t="s">
        <v>61</v>
      </c>
      <c r="D323" s="34" t="s">
        <v>68</v>
      </c>
      <c r="E323" s="34" t="s">
        <v>73</v>
      </c>
      <c r="F323" s="35">
        <v>114028</v>
      </c>
      <c r="G323" s="35">
        <v>3112</v>
      </c>
      <c r="H323" s="36">
        <v>2.7300000000000001E-2</v>
      </c>
      <c r="I323" s="37">
        <v>1.36</v>
      </c>
      <c r="J323" s="37">
        <v>4232.32</v>
      </c>
      <c r="K323" s="35">
        <v>120</v>
      </c>
      <c r="L323" s="37">
        <v>35.270000000000003</v>
      </c>
      <c r="M323" s="37">
        <v>10393.959999999999</v>
      </c>
      <c r="N323" s="38">
        <v>2.46</v>
      </c>
    </row>
    <row r="324" spans="1:14" x14ac:dyDescent="0.3">
      <c r="A324" s="33">
        <v>45448</v>
      </c>
      <c r="B324" s="34" t="s">
        <v>64</v>
      </c>
      <c r="C324" s="34" t="s">
        <v>67</v>
      </c>
      <c r="D324" s="34" t="s">
        <v>68</v>
      </c>
      <c r="E324" s="34" t="s">
        <v>78</v>
      </c>
      <c r="F324" s="35">
        <v>180309</v>
      </c>
      <c r="G324" s="35">
        <v>5823</v>
      </c>
      <c r="H324" s="36">
        <v>3.2300000000000002E-2</v>
      </c>
      <c r="I324" s="37">
        <v>0.65</v>
      </c>
      <c r="J324" s="37">
        <v>3784.95</v>
      </c>
      <c r="K324" s="35">
        <v>232</v>
      </c>
      <c r="L324" s="37">
        <v>16.309999999999999</v>
      </c>
      <c r="M324" s="37">
        <v>46549.68</v>
      </c>
      <c r="N324" s="38">
        <v>12.3</v>
      </c>
    </row>
    <row r="325" spans="1:14" x14ac:dyDescent="0.3">
      <c r="A325" s="33">
        <v>45373</v>
      </c>
      <c r="B325" s="34" t="s">
        <v>74</v>
      </c>
      <c r="C325" s="34" t="s">
        <v>67</v>
      </c>
      <c r="D325" s="34" t="s">
        <v>71</v>
      </c>
      <c r="E325" s="34" t="s">
        <v>73</v>
      </c>
      <c r="F325" s="35">
        <v>168402</v>
      </c>
      <c r="G325" s="35">
        <v>5237</v>
      </c>
      <c r="H325" s="36">
        <v>3.1099999999999999E-2</v>
      </c>
      <c r="I325" s="37">
        <v>0.85</v>
      </c>
      <c r="J325" s="37">
        <v>4451.45</v>
      </c>
      <c r="K325" s="35">
        <v>188</v>
      </c>
      <c r="L325" s="37">
        <v>23.68</v>
      </c>
      <c r="M325" s="37">
        <v>43774.92</v>
      </c>
      <c r="N325" s="38">
        <v>9.83</v>
      </c>
    </row>
    <row r="326" spans="1:14" x14ac:dyDescent="0.3">
      <c r="A326" s="33">
        <v>45649</v>
      </c>
      <c r="B326" s="34" t="s">
        <v>64</v>
      </c>
      <c r="C326" s="34" t="s">
        <v>67</v>
      </c>
      <c r="D326" s="34" t="s">
        <v>76</v>
      </c>
      <c r="E326" s="34" t="s">
        <v>73</v>
      </c>
      <c r="F326" s="35">
        <v>125419</v>
      </c>
      <c r="G326" s="35">
        <v>4126</v>
      </c>
      <c r="H326" s="36">
        <v>3.2899999999999999E-2</v>
      </c>
      <c r="I326" s="37">
        <v>0.85</v>
      </c>
      <c r="J326" s="37">
        <v>3507.1</v>
      </c>
      <c r="K326" s="35">
        <v>294</v>
      </c>
      <c r="L326" s="37">
        <v>11.93</v>
      </c>
      <c r="M326" s="37">
        <v>32829.78</v>
      </c>
      <c r="N326" s="38">
        <v>9.36</v>
      </c>
    </row>
    <row r="327" spans="1:14" x14ac:dyDescent="0.3">
      <c r="A327" s="33">
        <v>45327</v>
      </c>
      <c r="B327" s="34" t="s">
        <v>64</v>
      </c>
      <c r="C327" s="34" t="s">
        <v>67</v>
      </c>
      <c r="D327" s="34" t="s">
        <v>71</v>
      </c>
      <c r="E327" s="34" t="s">
        <v>66</v>
      </c>
      <c r="F327" s="35">
        <v>123680</v>
      </c>
      <c r="G327" s="35">
        <v>8373</v>
      </c>
      <c r="H327" s="36">
        <v>6.7699999999999996E-2</v>
      </c>
      <c r="I327" s="37">
        <v>0.6</v>
      </c>
      <c r="J327" s="37">
        <v>5023.8</v>
      </c>
      <c r="K327" s="35">
        <v>263</v>
      </c>
      <c r="L327" s="37">
        <v>19.100000000000001</v>
      </c>
      <c r="M327" s="37">
        <v>12412.26</v>
      </c>
      <c r="N327" s="38">
        <v>2.4700000000000002</v>
      </c>
    </row>
    <row r="328" spans="1:14" x14ac:dyDescent="0.3">
      <c r="A328" s="33">
        <v>45467</v>
      </c>
      <c r="B328" s="34" t="s">
        <v>60</v>
      </c>
      <c r="C328" s="34" t="s">
        <v>61</v>
      </c>
      <c r="D328" s="34" t="s">
        <v>62</v>
      </c>
      <c r="E328" s="34" t="s">
        <v>66</v>
      </c>
      <c r="F328" s="35">
        <v>117660</v>
      </c>
      <c r="G328" s="35">
        <v>6388</v>
      </c>
      <c r="H328" s="36">
        <v>5.4300000000000001E-2</v>
      </c>
      <c r="I328" s="37">
        <v>1.81</v>
      </c>
      <c r="J328" s="37">
        <v>11562.28</v>
      </c>
      <c r="K328" s="35">
        <v>331</v>
      </c>
      <c r="L328" s="37">
        <v>34.93</v>
      </c>
      <c r="M328" s="37">
        <v>17255.28</v>
      </c>
      <c r="N328" s="38">
        <v>1.49</v>
      </c>
    </row>
    <row r="329" spans="1:14" x14ac:dyDescent="0.3">
      <c r="A329" s="33">
        <v>45537</v>
      </c>
      <c r="B329" s="34" t="s">
        <v>74</v>
      </c>
      <c r="C329" s="34" t="s">
        <v>67</v>
      </c>
      <c r="D329" s="34" t="s">
        <v>62</v>
      </c>
      <c r="E329" s="34" t="s">
        <v>73</v>
      </c>
      <c r="F329" s="35">
        <v>76916</v>
      </c>
      <c r="G329" s="35">
        <v>2761</v>
      </c>
      <c r="H329" s="36">
        <v>3.5900000000000001E-2</v>
      </c>
      <c r="I329" s="37">
        <v>0.71</v>
      </c>
      <c r="J329" s="37">
        <v>1960.31</v>
      </c>
      <c r="K329" s="35">
        <v>64</v>
      </c>
      <c r="L329" s="37">
        <v>30.63</v>
      </c>
      <c r="M329" s="37">
        <v>14368.24</v>
      </c>
      <c r="N329" s="38">
        <v>7.33</v>
      </c>
    </row>
    <row r="330" spans="1:14" x14ac:dyDescent="0.3">
      <c r="A330" s="33">
        <v>45339</v>
      </c>
      <c r="B330" s="34" t="s">
        <v>74</v>
      </c>
      <c r="C330" s="34" t="s">
        <v>67</v>
      </c>
      <c r="D330" s="34" t="s">
        <v>76</v>
      </c>
      <c r="E330" s="34" t="s">
        <v>73</v>
      </c>
      <c r="F330" s="35">
        <v>150631</v>
      </c>
      <c r="G330" s="35">
        <v>5648</v>
      </c>
      <c r="H330" s="36">
        <v>3.7499999999999999E-2</v>
      </c>
      <c r="I330" s="37">
        <v>1.94</v>
      </c>
      <c r="J330" s="37">
        <v>10957.12</v>
      </c>
      <c r="K330" s="35">
        <v>111</v>
      </c>
      <c r="L330" s="37">
        <v>98.71</v>
      </c>
      <c r="M330" s="37">
        <v>21671.9</v>
      </c>
      <c r="N330" s="38">
        <v>1.98</v>
      </c>
    </row>
    <row r="331" spans="1:14" x14ac:dyDescent="0.3">
      <c r="A331" s="33">
        <v>45341</v>
      </c>
      <c r="B331" s="34" t="s">
        <v>60</v>
      </c>
      <c r="C331" s="34" t="s">
        <v>75</v>
      </c>
      <c r="D331" s="34" t="s">
        <v>62</v>
      </c>
      <c r="E331" s="34" t="s">
        <v>78</v>
      </c>
      <c r="F331" s="35">
        <v>126635</v>
      </c>
      <c r="G331" s="35">
        <v>4254</v>
      </c>
      <c r="H331" s="36">
        <v>3.3599999999999998E-2</v>
      </c>
      <c r="I331" s="37">
        <v>1.33</v>
      </c>
      <c r="J331" s="37">
        <v>5657.82</v>
      </c>
      <c r="K331" s="35">
        <v>313</v>
      </c>
      <c r="L331" s="37">
        <v>18.079999999999998</v>
      </c>
      <c r="M331" s="37">
        <v>28110.42</v>
      </c>
      <c r="N331" s="38">
        <v>4.97</v>
      </c>
    </row>
    <row r="332" spans="1:14" x14ac:dyDescent="0.3">
      <c r="A332" s="33">
        <v>45640</v>
      </c>
      <c r="B332" s="34" t="s">
        <v>60</v>
      </c>
      <c r="C332" s="34" t="s">
        <v>67</v>
      </c>
      <c r="D332" s="34" t="s">
        <v>65</v>
      </c>
      <c r="E332" s="34" t="s">
        <v>77</v>
      </c>
      <c r="F332" s="35">
        <v>159721</v>
      </c>
      <c r="G332" s="35">
        <v>3625</v>
      </c>
      <c r="H332" s="36">
        <v>2.2700000000000001E-2</v>
      </c>
      <c r="I332" s="37">
        <v>1.91</v>
      </c>
      <c r="J332" s="37">
        <v>6923.75</v>
      </c>
      <c r="K332" s="35">
        <v>150</v>
      </c>
      <c r="L332" s="37">
        <v>46.16</v>
      </c>
      <c r="M332" s="37">
        <v>39701.58</v>
      </c>
      <c r="N332" s="38">
        <v>5.73</v>
      </c>
    </row>
    <row r="333" spans="1:14" x14ac:dyDescent="0.3">
      <c r="A333" s="33">
        <v>45536</v>
      </c>
      <c r="B333" s="34" t="s">
        <v>74</v>
      </c>
      <c r="C333" s="34" t="s">
        <v>70</v>
      </c>
      <c r="D333" s="34" t="s">
        <v>68</v>
      </c>
      <c r="E333" s="34" t="s">
        <v>63</v>
      </c>
      <c r="F333" s="35">
        <v>150698</v>
      </c>
      <c r="G333" s="35">
        <v>4581</v>
      </c>
      <c r="H333" s="36">
        <v>3.04E-2</v>
      </c>
      <c r="I333" s="37">
        <v>0.51</v>
      </c>
      <c r="J333" s="37">
        <v>2336.31</v>
      </c>
      <c r="K333" s="35">
        <v>285</v>
      </c>
      <c r="L333" s="37">
        <v>8.1999999999999993</v>
      </c>
      <c r="M333" s="37">
        <v>32525.45</v>
      </c>
      <c r="N333" s="38">
        <v>13.92</v>
      </c>
    </row>
    <row r="334" spans="1:14" x14ac:dyDescent="0.3">
      <c r="A334" s="33">
        <v>45396</v>
      </c>
      <c r="B334" s="34" t="s">
        <v>64</v>
      </c>
      <c r="C334" s="34" t="s">
        <v>61</v>
      </c>
      <c r="D334" s="34" t="s">
        <v>65</v>
      </c>
      <c r="E334" s="34" t="s">
        <v>73</v>
      </c>
      <c r="F334" s="35">
        <v>98348</v>
      </c>
      <c r="G334" s="35">
        <v>3225</v>
      </c>
      <c r="H334" s="36">
        <v>3.2800000000000003E-2</v>
      </c>
      <c r="I334" s="37">
        <v>1.27</v>
      </c>
      <c r="J334" s="37">
        <v>4095.75</v>
      </c>
      <c r="K334" s="35">
        <v>59</v>
      </c>
      <c r="L334" s="37">
        <v>69.42</v>
      </c>
      <c r="M334" s="37">
        <v>2846.94</v>
      </c>
      <c r="N334" s="38">
        <v>0.7</v>
      </c>
    </row>
    <row r="335" spans="1:14" x14ac:dyDescent="0.3">
      <c r="A335" s="33">
        <v>45507</v>
      </c>
      <c r="B335" s="34" t="s">
        <v>74</v>
      </c>
      <c r="C335" s="34" t="s">
        <v>61</v>
      </c>
      <c r="D335" s="34" t="s">
        <v>76</v>
      </c>
      <c r="E335" s="34" t="s">
        <v>69</v>
      </c>
      <c r="F335" s="35">
        <v>110603</v>
      </c>
      <c r="G335" s="35">
        <v>2377</v>
      </c>
      <c r="H335" s="36">
        <v>2.1499999999999998E-2</v>
      </c>
      <c r="I335" s="37">
        <v>0.69</v>
      </c>
      <c r="J335" s="37">
        <v>1640.13</v>
      </c>
      <c r="K335" s="35">
        <v>62</v>
      </c>
      <c r="L335" s="37">
        <v>26.45</v>
      </c>
      <c r="M335" s="37">
        <v>2761.12</v>
      </c>
      <c r="N335" s="38">
        <v>1.68</v>
      </c>
    </row>
    <row r="336" spans="1:14" x14ac:dyDescent="0.3">
      <c r="A336" s="33">
        <v>45309</v>
      </c>
      <c r="B336" s="34" t="s">
        <v>60</v>
      </c>
      <c r="C336" s="34" t="s">
        <v>70</v>
      </c>
      <c r="D336" s="34" t="s">
        <v>76</v>
      </c>
      <c r="E336" s="34" t="s">
        <v>63</v>
      </c>
      <c r="F336" s="35">
        <v>76792</v>
      </c>
      <c r="G336" s="35">
        <v>3317</v>
      </c>
      <c r="H336" s="36">
        <v>4.3200000000000002E-2</v>
      </c>
      <c r="I336" s="37">
        <v>3.1</v>
      </c>
      <c r="J336" s="37">
        <v>10282.700000000001</v>
      </c>
      <c r="K336" s="35">
        <v>262</v>
      </c>
      <c r="L336" s="37">
        <v>39.25</v>
      </c>
      <c r="M336" s="37">
        <v>42043.839999999997</v>
      </c>
      <c r="N336" s="38">
        <v>4.09</v>
      </c>
    </row>
    <row r="337" spans="1:14" x14ac:dyDescent="0.3">
      <c r="A337" s="33">
        <v>45359</v>
      </c>
      <c r="B337" s="34" t="s">
        <v>64</v>
      </c>
      <c r="C337" s="34" t="s">
        <v>70</v>
      </c>
      <c r="D337" s="34" t="s">
        <v>71</v>
      </c>
      <c r="E337" s="34" t="s">
        <v>69</v>
      </c>
      <c r="F337" s="35">
        <v>44405</v>
      </c>
      <c r="G337" s="35">
        <v>1953</v>
      </c>
      <c r="H337" s="36">
        <v>4.3999999999999997E-2</v>
      </c>
      <c r="I337" s="37">
        <v>1.53</v>
      </c>
      <c r="J337" s="37">
        <v>2988.09</v>
      </c>
      <c r="K337" s="35">
        <v>22</v>
      </c>
      <c r="L337" s="37">
        <v>135.82</v>
      </c>
      <c r="M337" s="37">
        <v>6030.56</v>
      </c>
      <c r="N337" s="38">
        <v>2.02</v>
      </c>
    </row>
    <row r="338" spans="1:14" x14ac:dyDescent="0.3">
      <c r="A338" s="33">
        <v>45532</v>
      </c>
      <c r="B338" s="34" t="s">
        <v>60</v>
      </c>
      <c r="C338" s="34" t="s">
        <v>70</v>
      </c>
      <c r="D338" s="34" t="s">
        <v>76</v>
      </c>
      <c r="E338" s="34" t="s">
        <v>77</v>
      </c>
      <c r="F338" s="35">
        <v>49462</v>
      </c>
      <c r="G338" s="35">
        <v>1206</v>
      </c>
      <c r="H338" s="36">
        <v>2.4400000000000002E-2</v>
      </c>
      <c r="I338" s="37">
        <v>1.95</v>
      </c>
      <c r="J338" s="37">
        <v>2351.6999999999998</v>
      </c>
      <c r="K338" s="35">
        <v>74</v>
      </c>
      <c r="L338" s="37">
        <v>31.78</v>
      </c>
      <c r="M338" s="37">
        <v>12950.09</v>
      </c>
      <c r="N338" s="38">
        <v>5.51</v>
      </c>
    </row>
    <row r="339" spans="1:14" x14ac:dyDescent="0.3">
      <c r="A339" s="33">
        <v>45413</v>
      </c>
      <c r="B339" s="34" t="s">
        <v>64</v>
      </c>
      <c r="C339" s="34" t="s">
        <v>75</v>
      </c>
      <c r="D339" s="34" t="s">
        <v>71</v>
      </c>
      <c r="E339" s="34" t="s">
        <v>78</v>
      </c>
      <c r="F339" s="35">
        <v>140440</v>
      </c>
      <c r="G339" s="35">
        <v>11825</v>
      </c>
      <c r="H339" s="36">
        <v>8.4199999999999997E-2</v>
      </c>
      <c r="I339" s="37">
        <v>0.68</v>
      </c>
      <c r="J339" s="37">
        <v>8041</v>
      </c>
      <c r="K339" s="35">
        <v>748</v>
      </c>
      <c r="L339" s="37">
        <v>10.75</v>
      </c>
      <c r="M339" s="37">
        <v>31071.69</v>
      </c>
      <c r="N339" s="38">
        <v>3.86</v>
      </c>
    </row>
    <row r="340" spans="1:14" x14ac:dyDescent="0.3">
      <c r="A340" s="33">
        <v>45470</v>
      </c>
      <c r="B340" s="34" t="s">
        <v>64</v>
      </c>
      <c r="C340" s="34" t="s">
        <v>75</v>
      </c>
      <c r="D340" s="34" t="s">
        <v>68</v>
      </c>
      <c r="E340" s="34" t="s">
        <v>69</v>
      </c>
      <c r="F340" s="35">
        <v>112392</v>
      </c>
      <c r="G340" s="35">
        <v>4934</v>
      </c>
      <c r="H340" s="36">
        <v>4.3900000000000002E-2</v>
      </c>
      <c r="I340" s="37">
        <v>1.64</v>
      </c>
      <c r="J340" s="37">
        <v>8091.76</v>
      </c>
      <c r="K340" s="35">
        <v>363</v>
      </c>
      <c r="L340" s="37">
        <v>22.29</v>
      </c>
      <c r="M340" s="37">
        <v>91221.43</v>
      </c>
      <c r="N340" s="38">
        <v>11.27</v>
      </c>
    </row>
    <row r="341" spans="1:14" x14ac:dyDescent="0.3">
      <c r="A341" s="33">
        <v>45399</v>
      </c>
      <c r="B341" s="34" t="s">
        <v>64</v>
      </c>
      <c r="C341" s="34" t="s">
        <v>70</v>
      </c>
      <c r="D341" s="34" t="s">
        <v>68</v>
      </c>
      <c r="E341" s="34" t="s">
        <v>78</v>
      </c>
      <c r="F341" s="35">
        <v>125654</v>
      </c>
      <c r="G341" s="35">
        <v>8318</v>
      </c>
      <c r="H341" s="36">
        <v>6.6199999999999995E-2</v>
      </c>
      <c r="I341" s="37">
        <v>0.57999999999999996</v>
      </c>
      <c r="J341" s="37">
        <v>4824.4399999999996</v>
      </c>
      <c r="K341" s="35">
        <v>566</v>
      </c>
      <c r="L341" s="37">
        <v>8.52</v>
      </c>
      <c r="M341" s="37">
        <v>117035.13</v>
      </c>
      <c r="N341" s="38">
        <v>24.26</v>
      </c>
    </row>
    <row r="342" spans="1:14" x14ac:dyDescent="0.3">
      <c r="A342" s="33">
        <v>45489</v>
      </c>
      <c r="B342" s="34" t="s">
        <v>74</v>
      </c>
      <c r="C342" s="34" t="s">
        <v>61</v>
      </c>
      <c r="D342" s="34" t="s">
        <v>68</v>
      </c>
      <c r="E342" s="34" t="s">
        <v>66</v>
      </c>
      <c r="F342" s="35">
        <v>167002</v>
      </c>
      <c r="G342" s="35">
        <v>3406</v>
      </c>
      <c r="H342" s="36">
        <v>2.0400000000000001E-2</v>
      </c>
      <c r="I342" s="37">
        <v>1.83</v>
      </c>
      <c r="J342" s="37">
        <v>6232.98</v>
      </c>
      <c r="K342" s="35">
        <v>76</v>
      </c>
      <c r="L342" s="37">
        <v>82.01</v>
      </c>
      <c r="M342" s="37">
        <v>10328.31</v>
      </c>
      <c r="N342" s="38">
        <v>1.66</v>
      </c>
    </row>
    <row r="343" spans="1:14" x14ac:dyDescent="0.3">
      <c r="A343" s="33">
        <v>45388</v>
      </c>
      <c r="B343" s="34" t="s">
        <v>64</v>
      </c>
      <c r="C343" s="34" t="s">
        <v>61</v>
      </c>
      <c r="D343" s="34" t="s">
        <v>71</v>
      </c>
      <c r="E343" s="34" t="s">
        <v>78</v>
      </c>
      <c r="F343" s="35">
        <v>108247</v>
      </c>
      <c r="G343" s="35">
        <v>6971</v>
      </c>
      <c r="H343" s="36">
        <v>6.4399999999999999E-2</v>
      </c>
      <c r="I343" s="37">
        <v>0.59</v>
      </c>
      <c r="J343" s="37">
        <v>4112.8900000000003</v>
      </c>
      <c r="K343" s="35">
        <v>517</v>
      </c>
      <c r="L343" s="37">
        <v>7.96</v>
      </c>
      <c r="M343" s="37">
        <v>139391.79</v>
      </c>
      <c r="N343" s="38">
        <v>33.89</v>
      </c>
    </row>
    <row r="344" spans="1:14" x14ac:dyDescent="0.3">
      <c r="A344" s="33">
        <v>45396</v>
      </c>
      <c r="B344" s="34" t="s">
        <v>74</v>
      </c>
      <c r="C344" s="34" t="s">
        <v>75</v>
      </c>
      <c r="D344" s="34" t="s">
        <v>62</v>
      </c>
      <c r="E344" s="34" t="s">
        <v>78</v>
      </c>
      <c r="F344" s="35">
        <v>53128</v>
      </c>
      <c r="G344" s="35">
        <v>1678</v>
      </c>
      <c r="H344" s="36">
        <v>3.1600000000000003E-2</v>
      </c>
      <c r="I344" s="37">
        <v>1.51</v>
      </c>
      <c r="J344" s="37">
        <v>2533.7800000000002</v>
      </c>
      <c r="K344" s="35">
        <v>66</v>
      </c>
      <c r="L344" s="37">
        <v>38.39</v>
      </c>
      <c r="M344" s="37">
        <v>19225.18</v>
      </c>
      <c r="N344" s="38">
        <v>7.59</v>
      </c>
    </row>
    <row r="345" spans="1:14" x14ac:dyDescent="0.3">
      <c r="A345" s="33">
        <v>45323</v>
      </c>
      <c r="B345" s="34" t="s">
        <v>74</v>
      </c>
      <c r="C345" s="34" t="s">
        <v>67</v>
      </c>
      <c r="D345" s="34" t="s">
        <v>65</v>
      </c>
      <c r="E345" s="34" t="s">
        <v>69</v>
      </c>
      <c r="F345" s="35">
        <v>65942</v>
      </c>
      <c r="G345" s="35">
        <v>2044</v>
      </c>
      <c r="H345" s="36">
        <v>3.1E-2</v>
      </c>
      <c r="I345" s="37">
        <v>1.05</v>
      </c>
      <c r="J345" s="37">
        <v>2146.1999999999998</v>
      </c>
      <c r="K345" s="35">
        <v>48</v>
      </c>
      <c r="L345" s="37">
        <v>44.71</v>
      </c>
      <c r="M345" s="37">
        <v>6784.27</v>
      </c>
      <c r="N345" s="38">
        <v>3.16</v>
      </c>
    </row>
    <row r="346" spans="1:14" x14ac:dyDescent="0.3">
      <c r="A346" s="33">
        <v>45365</v>
      </c>
      <c r="B346" s="34" t="s">
        <v>60</v>
      </c>
      <c r="C346" s="34" t="s">
        <v>75</v>
      </c>
      <c r="D346" s="34" t="s">
        <v>76</v>
      </c>
      <c r="E346" s="34" t="s">
        <v>73</v>
      </c>
      <c r="F346" s="35">
        <v>32160</v>
      </c>
      <c r="G346" s="35">
        <v>1186</v>
      </c>
      <c r="H346" s="36">
        <v>3.6900000000000002E-2</v>
      </c>
      <c r="I346" s="37">
        <v>1.34</v>
      </c>
      <c r="J346" s="37">
        <v>1589.24</v>
      </c>
      <c r="K346" s="35">
        <v>12</v>
      </c>
      <c r="L346" s="37">
        <v>132.44</v>
      </c>
      <c r="M346" s="37">
        <v>1927.71</v>
      </c>
      <c r="N346" s="38">
        <v>1.21</v>
      </c>
    </row>
    <row r="347" spans="1:14" x14ac:dyDescent="0.3">
      <c r="A347" s="33">
        <v>45564</v>
      </c>
      <c r="B347" s="34" t="s">
        <v>60</v>
      </c>
      <c r="C347" s="34" t="s">
        <v>61</v>
      </c>
      <c r="D347" s="34" t="s">
        <v>65</v>
      </c>
      <c r="E347" s="34" t="s">
        <v>69</v>
      </c>
      <c r="F347" s="35">
        <v>58364</v>
      </c>
      <c r="G347" s="35">
        <v>2241</v>
      </c>
      <c r="H347" s="36">
        <v>3.8399999999999997E-2</v>
      </c>
      <c r="I347" s="37">
        <v>2.2200000000000002</v>
      </c>
      <c r="J347" s="37">
        <v>4975.0200000000004</v>
      </c>
      <c r="K347" s="35">
        <v>136</v>
      </c>
      <c r="L347" s="37">
        <v>36.58</v>
      </c>
      <c r="M347" s="37">
        <v>15149.72</v>
      </c>
      <c r="N347" s="38">
        <v>3.05</v>
      </c>
    </row>
    <row r="348" spans="1:14" x14ac:dyDescent="0.3">
      <c r="A348" s="33">
        <v>45448</v>
      </c>
      <c r="B348" s="34" t="s">
        <v>74</v>
      </c>
      <c r="C348" s="34" t="s">
        <v>61</v>
      </c>
      <c r="D348" s="34" t="s">
        <v>76</v>
      </c>
      <c r="E348" s="34" t="s">
        <v>77</v>
      </c>
      <c r="F348" s="35">
        <v>79462</v>
      </c>
      <c r="G348" s="35">
        <v>2058</v>
      </c>
      <c r="H348" s="36">
        <v>2.5899999999999999E-2</v>
      </c>
      <c r="I348" s="37">
        <v>0.88</v>
      </c>
      <c r="J348" s="37">
        <v>1811.04</v>
      </c>
      <c r="K348" s="35">
        <v>146</v>
      </c>
      <c r="L348" s="37">
        <v>12.4</v>
      </c>
      <c r="M348" s="37">
        <v>7813.85</v>
      </c>
      <c r="N348" s="38">
        <v>4.3099999999999996</v>
      </c>
    </row>
    <row r="349" spans="1:14" x14ac:dyDescent="0.3">
      <c r="A349" s="33">
        <v>45383</v>
      </c>
      <c r="B349" s="34" t="s">
        <v>74</v>
      </c>
      <c r="C349" s="34" t="s">
        <v>75</v>
      </c>
      <c r="D349" s="34" t="s">
        <v>71</v>
      </c>
      <c r="E349" s="34" t="s">
        <v>77</v>
      </c>
      <c r="F349" s="35">
        <v>151864</v>
      </c>
      <c r="G349" s="35">
        <v>4358</v>
      </c>
      <c r="H349" s="36">
        <v>2.87E-2</v>
      </c>
      <c r="I349" s="37">
        <v>1.69</v>
      </c>
      <c r="J349" s="37">
        <v>7365.02</v>
      </c>
      <c r="K349" s="35">
        <v>175</v>
      </c>
      <c r="L349" s="37">
        <v>42.09</v>
      </c>
      <c r="M349" s="37">
        <v>45340.29</v>
      </c>
      <c r="N349" s="38">
        <v>6.16</v>
      </c>
    </row>
    <row r="350" spans="1:14" x14ac:dyDescent="0.3">
      <c r="A350" s="33">
        <v>45409</v>
      </c>
      <c r="B350" s="34" t="s">
        <v>60</v>
      </c>
      <c r="C350" s="34" t="s">
        <v>70</v>
      </c>
      <c r="D350" s="34" t="s">
        <v>65</v>
      </c>
      <c r="E350" s="34" t="s">
        <v>63</v>
      </c>
      <c r="F350" s="35">
        <v>182926</v>
      </c>
      <c r="G350" s="35">
        <v>6749</v>
      </c>
      <c r="H350" s="36">
        <v>3.6900000000000002E-2</v>
      </c>
      <c r="I350" s="37">
        <v>1.94</v>
      </c>
      <c r="J350" s="37">
        <v>13093.06</v>
      </c>
      <c r="K350" s="35">
        <v>343</v>
      </c>
      <c r="L350" s="37">
        <v>38.17</v>
      </c>
      <c r="M350" s="37">
        <v>53279.93</v>
      </c>
      <c r="N350" s="38">
        <v>4.07</v>
      </c>
    </row>
    <row r="351" spans="1:14" x14ac:dyDescent="0.3">
      <c r="A351" s="33">
        <v>45590</v>
      </c>
      <c r="B351" s="34" t="s">
        <v>74</v>
      </c>
      <c r="C351" s="34" t="s">
        <v>70</v>
      </c>
      <c r="D351" s="34" t="s">
        <v>76</v>
      </c>
      <c r="E351" s="34" t="s">
        <v>77</v>
      </c>
      <c r="F351" s="35">
        <v>107489</v>
      </c>
      <c r="G351" s="35">
        <v>2515</v>
      </c>
      <c r="H351" s="36">
        <v>2.3400000000000001E-2</v>
      </c>
      <c r="I351" s="37">
        <v>1.4</v>
      </c>
      <c r="J351" s="37">
        <v>3521</v>
      </c>
      <c r="K351" s="35">
        <v>166</v>
      </c>
      <c r="L351" s="37">
        <v>21.21</v>
      </c>
      <c r="M351" s="37">
        <v>18411.150000000001</v>
      </c>
      <c r="N351" s="38">
        <v>5.23</v>
      </c>
    </row>
    <row r="352" spans="1:14" x14ac:dyDescent="0.3">
      <c r="A352" s="33">
        <v>45507</v>
      </c>
      <c r="B352" s="34" t="s">
        <v>64</v>
      </c>
      <c r="C352" s="34" t="s">
        <v>61</v>
      </c>
      <c r="D352" s="34" t="s">
        <v>68</v>
      </c>
      <c r="E352" s="34" t="s">
        <v>77</v>
      </c>
      <c r="F352" s="35">
        <v>40709</v>
      </c>
      <c r="G352" s="35">
        <v>1314</v>
      </c>
      <c r="H352" s="36">
        <v>3.2300000000000002E-2</v>
      </c>
      <c r="I352" s="37">
        <v>0.7</v>
      </c>
      <c r="J352" s="37">
        <v>919.8</v>
      </c>
      <c r="K352" s="35">
        <v>90</v>
      </c>
      <c r="L352" s="37">
        <v>10.220000000000001</v>
      </c>
      <c r="M352" s="37">
        <v>16081.05</v>
      </c>
      <c r="N352" s="38">
        <v>17.48</v>
      </c>
    </row>
    <row r="353" spans="1:14" x14ac:dyDescent="0.3">
      <c r="A353" s="33">
        <v>45559</v>
      </c>
      <c r="B353" s="34" t="s">
        <v>60</v>
      </c>
      <c r="C353" s="34" t="s">
        <v>67</v>
      </c>
      <c r="D353" s="34" t="s">
        <v>62</v>
      </c>
      <c r="E353" s="34" t="s">
        <v>78</v>
      </c>
      <c r="F353" s="35">
        <v>143561</v>
      </c>
      <c r="G353" s="35">
        <v>9144</v>
      </c>
      <c r="H353" s="36">
        <v>6.3700000000000007E-2</v>
      </c>
      <c r="I353" s="37">
        <v>1.93</v>
      </c>
      <c r="J353" s="37">
        <v>17647.919999999998</v>
      </c>
      <c r="K353" s="35">
        <v>630</v>
      </c>
      <c r="L353" s="37">
        <v>28.01</v>
      </c>
      <c r="M353" s="37">
        <v>123364.05</v>
      </c>
      <c r="N353" s="38">
        <v>6.99</v>
      </c>
    </row>
    <row r="354" spans="1:14" x14ac:dyDescent="0.3">
      <c r="A354" s="33">
        <v>45375</v>
      </c>
      <c r="B354" s="34" t="s">
        <v>60</v>
      </c>
      <c r="C354" s="34" t="s">
        <v>70</v>
      </c>
      <c r="D354" s="34" t="s">
        <v>62</v>
      </c>
      <c r="E354" s="34" t="s">
        <v>77</v>
      </c>
      <c r="F354" s="35">
        <v>94242</v>
      </c>
      <c r="G354" s="35">
        <v>5466</v>
      </c>
      <c r="H354" s="36">
        <v>5.8000000000000003E-2</v>
      </c>
      <c r="I354" s="37">
        <v>1.67</v>
      </c>
      <c r="J354" s="37">
        <v>9128.2199999999993</v>
      </c>
      <c r="K354" s="35">
        <v>100</v>
      </c>
      <c r="L354" s="37">
        <v>91.28</v>
      </c>
      <c r="M354" s="37">
        <v>6794.77</v>
      </c>
      <c r="N354" s="38">
        <v>0.74</v>
      </c>
    </row>
    <row r="355" spans="1:14" x14ac:dyDescent="0.3">
      <c r="A355" s="33">
        <v>45558</v>
      </c>
      <c r="B355" s="34" t="s">
        <v>60</v>
      </c>
      <c r="C355" s="34" t="s">
        <v>75</v>
      </c>
      <c r="D355" s="34" t="s">
        <v>68</v>
      </c>
      <c r="E355" s="34" t="s">
        <v>63</v>
      </c>
      <c r="F355" s="35">
        <v>111311</v>
      </c>
      <c r="G355" s="35">
        <v>5765</v>
      </c>
      <c r="H355" s="36">
        <v>5.1799999999999999E-2</v>
      </c>
      <c r="I355" s="37">
        <v>2.71</v>
      </c>
      <c r="J355" s="37">
        <v>15623.15</v>
      </c>
      <c r="K355" s="35">
        <v>389</v>
      </c>
      <c r="L355" s="37">
        <v>40.159999999999997</v>
      </c>
      <c r="M355" s="37">
        <v>22317.919999999998</v>
      </c>
      <c r="N355" s="38">
        <v>1.43</v>
      </c>
    </row>
    <row r="356" spans="1:14" x14ac:dyDescent="0.3">
      <c r="A356" s="33">
        <v>45559</v>
      </c>
      <c r="B356" s="34" t="s">
        <v>64</v>
      </c>
      <c r="C356" s="34" t="s">
        <v>67</v>
      </c>
      <c r="D356" s="34" t="s">
        <v>62</v>
      </c>
      <c r="E356" s="34" t="s">
        <v>69</v>
      </c>
      <c r="F356" s="35">
        <v>130865</v>
      </c>
      <c r="G356" s="35">
        <v>9461</v>
      </c>
      <c r="H356" s="36">
        <v>7.2300000000000003E-2</v>
      </c>
      <c r="I356" s="37">
        <v>1.48</v>
      </c>
      <c r="J356" s="37">
        <v>14002.28</v>
      </c>
      <c r="K356" s="35">
        <v>221</v>
      </c>
      <c r="L356" s="37">
        <v>63.36</v>
      </c>
      <c r="M356" s="37">
        <v>46411.13</v>
      </c>
      <c r="N356" s="38">
        <v>3.31</v>
      </c>
    </row>
    <row r="357" spans="1:14" x14ac:dyDescent="0.3">
      <c r="A357" s="33">
        <v>45293</v>
      </c>
      <c r="B357" s="34" t="s">
        <v>74</v>
      </c>
      <c r="C357" s="34" t="s">
        <v>67</v>
      </c>
      <c r="D357" s="34" t="s">
        <v>65</v>
      </c>
      <c r="E357" s="34" t="s">
        <v>69</v>
      </c>
      <c r="F357" s="35">
        <v>138639</v>
      </c>
      <c r="G357" s="35">
        <v>2204</v>
      </c>
      <c r="H357" s="36">
        <v>1.5900000000000001E-2</v>
      </c>
      <c r="I357" s="37">
        <v>1.8</v>
      </c>
      <c r="J357" s="37">
        <v>3967.2</v>
      </c>
      <c r="K357" s="35">
        <v>154</v>
      </c>
      <c r="L357" s="37">
        <v>25.76</v>
      </c>
      <c r="M357" s="37">
        <v>35803.07</v>
      </c>
      <c r="N357" s="38">
        <v>9.02</v>
      </c>
    </row>
    <row r="358" spans="1:14" x14ac:dyDescent="0.3">
      <c r="A358" s="33">
        <v>45458</v>
      </c>
      <c r="B358" s="34" t="s">
        <v>64</v>
      </c>
      <c r="C358" s="34" t="s">
        <v>70</v>
      </c>
      <c r="D358" s="34" t="s">
        <v>71</v>
      </c>
      <c r="E358" s="34" t="s">
        <v>77</v>
      </c>
      <c r="F358" s="35">
        <v>147355</v>
      </c>
      <c r="G358" s="35">
        <v>7485</v>
      </c>
      <c r="H358" s="36">
        <v>5.0799999999999998E-2</v>
      </c>
      <c r="I358" s="37">
        <v>0.91</v>
      </c>
      <c r="J358" s="37">
        <v>6811.35</v>
      </c>
      <c r="K358" s="35">
        <v>81</v>
      </c>
      <c r="L358" s="37">
        <v>84.09</v>
      </c>
      <c r="M358" s="37">
        <v>14520.06</v>
      </c>
      <c r="N358" s="38">
        <v>2.13</v>
      </c>
    </row>
    <row r="359" spans="1:14" x14ac:dyDescent="0.3">
      <c r="A359" s="33">
        <v>45411</v>
      </c>
      <c r="B359" s="34" t="s">
        <v>74</v>
      </c>
      <c r="C359" s="34" t="s">
        <v>70</v>
      </c>
      <c r="D359" s="34" t="s">
        <v>62</v>
      </c>
      <c r="E359" s="34" t="s">
        <v>66</v>
      </c>
      <c r="F359" s="35">
        <v>26751</v>
      </c>
      <c r="G359" s="35">
        <v>489</v>
      </c>
      <c r="H359" s="36">
        <v>1.83E-2</v>
      </c>
      <c r="I359" s="37">
        <v>1.93</v>
      </c>
      <c r="J359" s="37">
        <v>943.77</v>
      </c>
      <c r="K359" s="35">
        <v>8</v>
      </c>
      <c r="L359" s="37">
        <v>117.97</v>
      </c>
      <c r="M359" s="37">
        <v>791.56</v>
      </c>
      <c r="N359" s="38">
        <v>0.84</v>
      </c>
    </row>
    <row r="360" spans="1:14" x14ac:dyDescent="0.3">
      <c r="A360" s="33">
        <v>45316</v>
      </c>
      <c r="B360" s="34" t="s">
        <v>64</v>
      </c>
      <c r="C360" s="34" t="s">
        <v>75</v>
      </c>
      <c r="D360" s="34" t="s">
        <v>71</v>
      </c>
      <c r="E360" s="34" t="s">
        <v>66</v>
      </c>
      <c r="F360" s="35">
        <v>42706</v>
      </c>
      <c r="G360" s="35">
        <v>2084</v>
      </c>
      <c r="H360" s="36">
        <v>4.8800000000000003E-2</v>
      </c>
      <c r="I360" s="37">
        <v>1.59</v>
      </c>
      <c r="J360" s="37">
        <v>3313.56</v>
      </c>
      <c r="K360" s="35">
        <v>35</v>
      </c>
      <c r="L360" s="37">
        <v>94.67</v>
      </c>
      <c r="M360" s="37">
        <v>4766.32</v>
      </c>
      <c r="N360" s="38">
        <v>1.44</v>
      </c>
    </row>
    <row r="361" spans="1:14" x14ac:dyDescent="0.3">
      <c r="A361" s="33">
        <v>45537</v>
      </c>
      <c r="B361" s="34" t="s">
        <v>74</v>
      </c>
      <c r="C361" s="34" t="s">
        <v>67</v>
      </c>
      <c r="D361" s="34" t="s">
        <v>71</v>
      </c>
      <c r="E361" s="34" t="s">
        <v>63</v>
      </c>
      <c r="F361" s="35">
        <v>173337</v>
      </c>
      <c r="G361" s="35">
        <v>3189</v>
      </c>
      <c r="H361" s="36">
        <v>1.84E-2</v>
      </c>
      <c r="I361" s="37">
        <v>2.0299999999999998</v>
      </c>
      <c r="J361" s="37">
        <v>6473.67</v>
      </c>
      <c r="K361" s="35">
        <v>224</v>
      </c>
      <c r="L361" s="37">
        <v>28.9</v>
      </c>
      <c r="M361" s="37">
        <v>43055.91</v>
      </c>
      <c r="N361" s="38">
        <v>6.65</v>
      </c>
    </row>
    <row r="362" spans="1:14" x14ac:dyDescent="0.3">
      <c r="A362" s="33">
        <v>45501</v>
      </c>
      <c r="B362" s="34" t="s">
        <v>74</v>
      </c>
      <c r="C362" s="34" t="s">
        <v>70</v>
      </c>
      <c r="D362" s="34" t="s">
        <v>71</v>
      </c>
      <c r="E362" s="34" t="s">
        <v>73</v>
      </c>
      <c r="F362" s="35">
        <v>99948</v>
      </c>
      <c r="G362" s="35">
        <v>1389</v>
      </c>
      <c r="H362" s="36">
        <v>1.3899999999999999E-2</v>
      </c>
      <c r="I362" s="37">
        <v>1.04</v>
      </c>
      <c r="J362" s="37">
        <v>1444.56</v>
      </c>
      <c r="K362" s="35">
        <v>67</v>
      </c>
      <c r="L362" s="37">
        <v>21.56</v>
      </c>
      <c r="M362" s="37">
        <v>4987.6000000000004</v>
      </c>
      <c r="N362" s="38">
        <v>3.45</v>
      </c>
    </row>
    <row r="363" spans="1:14" x14ac:dyDescent="0.3">
      <c r="A363" s="33">
        <v>45381</v>
      </c>
      <c r="B363" s="34" t="s">
        <v>60</v>
      </c>
      <c r="C363" s="34" t="s">
        <v>67</v>
      </c>
      <c r="D363" s="34" t="s">
        <v>68</v>
      </c>
      <c r="E363" s="34" t="s">
        <v>73</v>
      </c>
      <c r="F363" s="35">
        <v>65282</v>
      </c>
      <c r="G363" s="35">
        <v>1723</v>
      </c>
      <c r="H363" s="36">
        <v>2.64E-2</v>
      </c>
      <c r="I363" s="37">
        <v>1.91</v>
      </c>
      <c r="J363" s="37">
        <v>3290.93</v>
      </c>
      <c r="K363" s="35">
        <v>64</v>
      </c>
      <c r="L363" s="37">
        <v>51.42</v>
      </c>
      <c r="M363" s="37">
        <v>16624.45</v>
      </c>
      <c r="N363" s="38">
        <v>5.05</v>
      </c>
    </row>
    <row r="364" spans="1:14" x14ac:dyDescent="0.3">
      <c r="A364" s="33">
        <v>45323</v>
      </c>
      <c r="B364" s="34" t="s">
        <v>60</v>
      </c>
      <c r="C364" s="34" t="s">
        <v>67</v>
      </c>
      <c r="D364" s="34" t="s">
        <v>65</v>
      </c>
      <c r="E364" s="34" t="s">
        <v>69</v>
      </c>
      <c r="F364" s="35">
        <v>48790</v>
      </c>
      <c r="G364" s="35">
        <v>2824</v>
      </c>
      <c r="H364" s="36">
        <v>5.79E-2</v>
      </c>
      <c r="I364" s="37">
        <v>1.3</v>
      </c>
      <c r="J364" s="37">
        <v>3671.2</v>
      </c>
      <c r="K364" s="35">
        <v>178</v>
      </c>
      <c r="L364" s="37">
        <v>20.62</v>
      </c>
      <c r="M364" s="37">
        <v>37847.71</v>
      </c>
      <c r="N364" s="38">
        <v>10.31</v>
      </c>
    </row>
    <row r="365" spans="1:14" x14ac:dyDescent="0.3">
      <c r="A365" s="33">
        <v>45489</v>
      </c>
      <c r="B365" s="34" t="s">
        <v>60</v>
      </c>
      <c r="C365" s="34" t="s">
        <v>70</v>
      </c>
      <c r="D365" s="34" t="s">
        <v>65</v>
      </c>
      <c r="E365" s="34" t="s">
        <v>63</v>
      </c>
      <c r="F365" s="35">
        <v>163272</v>
      </c>
      <c r="G365" s="35">
        <v>5551</v>
      </c>
      <c r="H365" s="36">
        <v>3.4000000000000002E-2</v>
      </c>
      <c r="I365" s="37">
        <v>2.23</v>
      </c>
      <c r="J365" s="37">
        <v>12378.73</v>
      </c>
      <c r="K365" s="35">
        <v>135</v>
      </c>
      <c r="L365" s="37">
        <v>91.69</v>
      </c>
      <c r="M365" s="37">
        <v>38753.89</v>
      </c>
      <c r="N365" s="38">
        <v>3.13</v>
      </c>
    </row>
    <row r="366" spans="1:14" x14ac:dyDescent="0.3">
      <c r="A366" s="33">
        <v>45600</v>
      </c>
      <c r="B366" s="34" t="s">
        <v>60</v>
      </c>
      <c r="C366" s="34" t="s">
        <v>67</v>
      </c>
      <c r="D366" s="34" t="s">
        <v>65</v>
      </c>
      <c r="E366" s="34" t="s">
        <v>78</v>
      </c>
      <c r="F366" s="35">
        <v>149233</v>
      </c>
      <c r="G366" s="35">
        <v>3686</v>
      </c>
      <c r="H366" s="36">
        <v>2.47E-2</v>
      </c>
      <c r="I366" s="37">
        <v>1</v>
      </c>
      <c r="J366" s="37">
        <v>3686</v>
      </c>
      <c r="K366" s="35">
        <v>250</v>
      </c>
      <c r="L366" s="37">
        <v>14.74</v>
      </c>
      <c r="M366" s="37">
        <v>16524.46</v>
      </c>
      <c r="N366" s="38">
        <v>4.4800000000000004</v>
      </c>
    </row>
    <row r="367" spans="1:14" x14ac:dyDescent="0.3">
      <c r="A367" s="33">
        <v>45349</v>
      </c>
      <c r="B367" s="34" t="s">
        <v>64</v>
      </c>
      <c r="C367" s="34" t="s">
        <v>61</v>
      </c>
      <c r="D367" s="34" t="s">
        <v>71</v>
      </c>
      <c r="E367" s="34" t="s">
        <v>63</v>
      </c>
      <c r="F367" s="35">
        <v>7637</v>
      </c>
      <c r="G367" s="35">
        <v>415</v>
      </c>
      <c r="H367" s="36">
        <v>5.4399999999999997E-2</v>
      </c>
      <c r="I367" s="37">
        <v>1.54</v>
      </c>
      <c r="J367" s="37">
        <v>639.1</v>
      </c>
      <c r="K367" s="35">
        <v>10</v>
      </c>
      <c r="L367" s="37">
        <v>63.91</v>
      </c>
      <c r="M367" s="37">
        <v>1137.83</v>
      </c>
      <c r="N367" s="38">
        <v>1.78</v>
      </c>
    </row>
    <row r="368" spans="1:14" x14ac:dyDescent="0.3">
      <c r="A368" s="33">
        <v>45295</v>
      </c>
      <c r="B368" s="34" t="s">
        <v>60</v>
      </c>
      <c r="C368" s="34" t="s">
        <v>75</v>
      </c>
      <c r="D368" s="34" t="s">
        <v>62</v>
      </c>
      <c r="E368" s="34" t="s">
        <v>66</v>
      </c>
      <c r="F368" s="35">
        <v>20198</v>
      </c>
      <c r="G368" s="35">
        <v>878</v>
      </c>
      <c r="H368" s="36">
        <v>4.3499999999999997E-2</v>
      </c>
      <c r="I368" s="37">
        <v>2.68</v>
      </c>
      <c r="J368" s="37">
        <v>2353.04</v>
      </c>
      <c r="K368" s="35">
        <v>67</v>
      </c>
      <c r="L368" s="37">
        <v>35.119999999999997</v>
      </c>
      <c r="M368" s="37">
        <v>5967.58</v>
      </c>
      <c r="N368" s="38">
        <v>2.54</v>
      </c>
    </row>
    <row r="369" spans="1:14" x14ac:dyDescent="0.3">
      <c r="A369" s="33">
        <v>45546</v>
      </c>
      <c r="B369" s="34" t="s">
        <v>60</v>
      </c>
      <c r="C369" s="34" t="s">
        <v>61</v>
      </c>
      <c r="D369" s="34" t="s">
        <v>65</v>
      </c>
      <c r="E369" s="34" t="s">
        <v>63</v>
      </c>
      <c r="F369" s="35">
        <v>32675</v>
      </c>
      <c r="G369" s="35">
        <v>941</v>
      </c>
      <c r="H369" s="36">
        <v>2.8799999999999999E-2</v>
      </c>
      <c r="I369" s="37">
        <v>1.0900000000000001</v>
      </c>
      <c r="J369" s="37">
        <v>1025.69</v>
      </c>
      <c r="K369" s="35">
        <v>47</v>
      </c>
      <c r="L369" s="37">
        <v>21.82</v>
      </c>
      <c r="M369" s="37">
        <v>12632.32</v>
      </c>
      <c r="N369" s="38">
        <v>12.32</v>
      </c>
    </row>
    <row r="370" spans="1:14" x14ac:dyDescent="0.3">
      <c r="A370" s="33">
        <v>45350</v>
      </c>
      <c r="B370" s="34" t="s">
        <v>60</v>
      </c>
      <c r="C370" s="34" t="s">
        <v>61</v>
      </c>
      <c r="D370" s="34" t="s">
        <v>65</v>
      </c>
      <c r="E370" s="34" t="s">
        <v>69</v>
      </c>
      <c r="F370" s="35">
        <v>116560</v>
      </c>
      <c r="G370" s="35">
        <v>4312</v>
      </c>
      <c r="H370" s="36">
        <v>3.6999999999999998E-2</v>
      </c>
      <c r="I370" s="37">
        <v>2.79</v>
      </c>
      <c r="J370" s="37">
        <v>12030.48</v>
      </c>
      <c r="K370" s="35">
        <v>198</v>
      </c>
      <c r="L370" s="37">
        <v>60.76</v>
      </c>
      <c r="M370" s="37">
        <v>51746.42</v>
      </c>
      <c r="N370" s="38">
        <v>4.3</v>
      </c>
    </row>
    <row r="371" spans="1:14" x14ac:dyDescent="0.3">
      <c r="A371" s="33">
        <v>45318</v>
      </c>
      <c r="B371" s="34" t="s">
        <v>74</v>
      </c>
      <c r="C371" s="34" t="s">
        <v>75</v>
      </c>
      <c r="D371" s="34" t="s">
        <v>76</v>
      </c>
      <c r="E371" s="34" t="s">
        <v>78</v>
      </c>
      <c r="F371" s="35">
        <v>176459</v>
      </c>
      <c r="G371" s="35">
        <v>3670</v>
      </c>
      <c r="H371" s="36">
        <v>2.0799999999999999E-2</v>
      </c>
      <c r="I371" s="37">
        <v>1.91</v>
      </c>
      <c r="J371" s="37">
        <v>7009.7</v>
      </c>
      <c r="K371" s="35">
        <v>65</v>
      </c>
      <c r="L371" s="37">
        <v>107.84</v>
      </c>
      <c r="M371" s="37">
        <v>2483.8000000000002</v>
      </c>
      <c r="N371" s="38">
        <v>0.35</v>
      </c>
    </row>
    <row r="372" spans="1:14" x14ac:dyDescent="0.3">
      <c r="A372" s="33">
        <v>45537</v>
      </c>
      <c r="B372" s="34" t="s">
        <v>74</v>
      </c>
      <c r="C372" s="34" t="s">
        <v>70</v>
      </c>
      <c r="D372" s="34" t="s">
        <v>71</v>
      </c>
      <c r="E372" s="34" t="s">
        <v>78</v>
      </c>
      <c r="F372" s="35">
        <v>49980</v>
      </c>
      <c r="G372" s="35">
        <v>1664</v>
      </c>
      <c r="H372" s="36">
        <v>3.3300000000000003E-2</v>
      </c>
      <c r="I372" s="37">
        <v>1.98</v>
      </c>
      <c r="J372" s="37">
        <v>3294.72</v>
      </c>
      <c r="K372" s="35">
        <v>37</v>
      </c>
      <c r="L372" s="37">
        <v>89.05</v>
      </c>
      <c r="M372" s="37">
        <v>6236.77</v>
      </c>
      <c r="N372" s="38">
        <v>1.89</v>
      </c>
    </row>
    <row r="373" spans="1:14" x14ac:dyDescent="0.3">
      <c r="A373" s="33">
        <v>45298</v>
      </c>
      <c r="B373" s="34" t="s">
        <v>74</v>
      </c>
      <c r="C373" s="34" t="s">
        <v>67</v>
      </c>
      <c r="D373" s="34" t="s">
        <v>68</v>
      </c>
      <c r="E373" s="34" t="s">
        <v>72</v>
      </c>
      <c r="F373" s="35">
        <v>98944</v>
      </c>
      <c r="G373" s="35">
        <v>1850</v>
      </c>
      <c r="H373" s="36">
        <v>1.8700000000000001E-2</v>
      </c>
      <c r="I373" s="37">
        <v>1.42</v>
      </c>
      <c r="J373" s="37">
        <v>2627</v>
      </c>
      <c r="K373" s="35">
        <v>78</v>
      </c>
      <c r="L373" s="37">
        <v>33.68</v>
      </c>
      <c r="M373" s="37">
        <v>17285.68</v>
      </c>
      <c r="N373" s="38">
        <v>6.58</v>
      </c>
    </row>
    <row r="374" spans="1:14" x14ac:dyDescent="0.3">
      <c r="A374" s="33">
        <v>45383</v>
      </c>
      <c r="B374" s="34" t="s">
        <v>64</v>
      </c>
      <c r="C374" s="34" t="s">
        <v>67</v>
      </c>
      <c r="D374" s="34" t="s">
        <v>68</v>
      </c>
      <c r="E374" s="34" t="s">
        <v>69</v>
      </c>
      <c r="F374" s="35">
        <v>115310</v>
      </c>
      <c r="G374" s="35">
        <v>3205</v>
      </c>
      <c r="H374" s="36">
        <v>2.7799999999999998E-2</v>
      </c>
      <c r="I374" s="37">
        <v>1.04</v>
      </c>
      <c r="J374" s="37">
        <v>3333.2</v>
      </c>
      <c r="K374" s="35">
        <v>134</v>
      </c>
      <c r="L374" s="37">
        <v>24.87</v>
      </c>
      <c r="M374" s="37">
        <v>14521.43</v>
      </c>
      <c r="N374" s="38">
        <v>4.3600000000000003</v>
      </c>
    </row>
    <row r="375" spans="1:14" x14ac:dyDescent="0.3">
      <c r="A375" s="33">
        <v>45512</v>
      </c>
      <c r="B375" s="34" t="s">
        <v>74</v>
      </c>
      <c r="C375" s="34" t="s">
        <v>61</v>
      </c>
      <c r="D375" s="34" t="s">
        <v>76</v>
      </c>
      <c r="E375" s="34" t="s">
        <v>77</v>
      </c>
      <c r="F375" s="35">
        <v>8626</v>
      </c>
      <c r="G375" s="35">
        <v>242</v>
      </c>
      <c r="H375" s="36">
        <v>2.81E-2</v>
      </c>
      <c r="I375" s="37">
        <v>1.1299999999999999</v>
      </c>
      <c r="J375" s="37">
        <v>273.45999999999998</v>
      </c>
      <c r="K375" s="35">
        <v>18</v>
      </c>
      <c r="L375" s="37">
        <v>15.19</v>
      </c>
      <c r="M375" s="37">
        <v>3013.54</v>
      </c>
      <c r="N375" s="38">
        <v>11.02</v>
      </c>
    </row>
    <row r="376" spans="1:14" x14ac:dyDescent="0.3">
      <c r="A376" s="33">
        <v>45296</v>
      </c>
      <c r="B376" s="34" t="s">
        <v>74</v>
      </c>
      <c r="C376" s="34" t="s">
        <v>75</v>
      </c>
      <c r="D376" s="34" t="s">
        <v>76</v>
      </c>
      <c r="E376" s="34" t="s">
        <v>72</v>
      </c>
      <c r="F376" s="35">
        <v>88732</v>
      </c>
      <c r="G376" s="35">
        <v>1579</v>
      </c>
      <c r="H376" s="36">
        <v>1.78E-2</v>
      </c>
      <c r="I376" s="37">
        <v>0.44</v>
      </c>
      <c r="J376" s="37">
        <v>694.76</v>
      </c>
      <c r="K376" s="35">
        <v>32</v>
      </c>
      <c r="L376" s="37">
        <v>21.71</v>
      </c>
      <c r="M376" s="37">
        <v>4757.82</v>
      </c>
      <c r="N376" s="38">
        <v>6.85</v>
      </c>
    </row>
    <row r="377" spans="1:14" x14ac:dyDescent="0.3">
      <c r="A377" s="33">
        <v>45463</v>
      </c>
      <c r="B377" s="34" t="s">
        <v>74</v>
      </c>
      <c r="C377" s="34" t="s">
        <v>67</v>
      </c>
      <c r="D377" s="34" t="s">
        <v>65</v>
      </c>
      <c r="E377" s="34" t="s">
        <v>72</v>
      </c>
      <c r="F377" s="35">
        <v>29502</v>
      </c>
      <c r="G377" s="35">
        <v>604</v>
      </c>
      <c r="H377" s="36">
        <v>2.0500000000000001E-2</v>
      </c>
      <c r="I377" s="37">
        <v>1.61</v>
      </c>
      <c r="J377" s="37">
        <v>972.44</v>
      </c>
      <c r="K377" s="35">
        <v>30</v>
      </c>
      <c r="L377" s="37">
        <v>32.409999999999997</v>
      </c>
      <c r="M377" s="37">
        <v>5842.59</v>
      </c>
      <c r="N377" s="38">
        <v>6.01</v>
      </c>
    </row>
    <row r="378" spans="1:14" x14ac:dyDescent="0.3">
      <c r="A378" s="33">
        <v>45549</v>
      </c>
      <c r="B378" s="34" t="s">
        <v>64</v>
      </c>
      <c r="C378" s="34" t="s">
        <v>61</v>
      </c>
      <c r="D378" s="34" t="s">
        <v>76</v>
      </c>
      <c r="E378" s="34" t="s">
        <v>73</v>
      </c>
      <c r="F378" s="35">
        <v>198085</v>
      </c>
      <c r="G378" s="35">
        <v>14460</v>
      </c>
      <c r="H378" s="36">
        <v>7.2999999999999995E-2</v>
      </c>
      <c r="I378" s="37">
        <v>0.82</v>
      </c>
      <c r="J378" s="37">
        <v>11857.2</v>
      </c>
      <c r="K378" s="35">
        <v>1133</v>
      </c>
      <c r="L378" s="37">
        <v>10.47</v>
      </c>
      <c r="M378" s="37">
        <v>295028.26</v>
      </c>
      <c r="N378" s="38">
        <v>24.88</v>
      </c>
    </row>
    <row r="379" spans="1:14" x14ac:dyDescent="0.3">
      <c r="A379" s="33">
        <v>45487</v>
      </c>
      <c r="B379" s="34" t="s">
        <v>74</v>
      </c>
      <c r="C379" s="34" t="s">
        <v>70</v>
      </c>
      <c r="D379" s="34" t="s">
        <v>68</v>
      </c>
      <c r="E379" s="34" t="s">
        <v>69</v>
      </c>
      <c r="F379" s="35">
        <v>111802</v>
      </c>
      <c r="G379" s="35">
        <v>2247</v>
      </c>
      <c r="H379" s="36">
        <v>2.01E-2</v>
      </c>
      <c r="I379" s="37">
        <v>1.65</v>
      </c>
      <c r="J379" s="37">
        <v>3707.55</v>
      </c>
      <c r="K379" s="35">
        <v>163</v>
      </c>
      <c r="L379" s="37">
        <v>22.75</v>
      </c>
      <c r="M379" s="37">
        <v>6163.84</v>
      </c>
      <c r="N379" s="38">
        <v>1.66</v>
      </c>
    </row>
    <row r="380" spans="1:14" x14ac:dyDescent="0.3">
      <c r="A380" s="33">
        <v>45505</v>
      </c>
      <c r="B380" s="34" t="s">
        <v>60</v>
      </c>
      <c r="C380" s="34" t="s">
        <v>70</v>
      </c>
      <c r="D380" s="34" t="s">
        <v>65</v>
      </c>
      <c r="E380" s="34" t="s">
        <v>63</v>
      </c>
      <c r="F380" s="35">
        <v>65186</v>
      </c>
      <c r="G380" s="35">
        <v>1955</v>
      </c>
      <c r="H380" s="36">
        <v>0.03</v>
      </c>
      <c r="I380" s="37">
        <v>2.2599999999999998</v>
      </c>
      <c r="J380" s="37">
        <v>4418.3</v>
      </c>
      <c r="K380" s="35">
        <v>89</v>
      </c>
      <c r="L380" s="37">
        <v>49.64</v>
      </c>
      <c r="M380" s="37">
        <v>13375.79</v>
      </c>
      <c r="N380" s="38">
        <v>3.03</v>
      </c>
    </row>
    <row r="381" spans="1:14" x14ac:dyDescent="0.3">
      <c r="A381" s="33">
        <v>45458</v>
      </c>
      <c r="B381" s="34" t="s">
        <v>64</v>
      </c>
      <c r="C381" s="34" t="s">
        <v>67</v>
      </c>
      <c r="D381" s="34" t="s">
        <v>65</v>
      </c>
      <c r="E381" s="34" t="s">
        <v>66</v>
      </c>
      <c r="F381" s="35">
        <v>101176</v>
      </c>
      <c r="G381" s="35">
        <v>6505</v>
      </c>
      <c r="H381" s="36">
        <v>6.4299999999999996E-2</v>
      </c>
      <c r="I381" s="37">
        <v>0.96</v>
      </c>
      <c r="J381" s="37">
        <v>6244.8</v>
      </c>
      <c r="K381" s="35">
        <v>459</v>
      </c>
      <c r="L381" s="37">
        <v>13.61</v>
      </c>
      <c r="M381" s="37">
        <v>44008.34</v>
      </c>
      <c r="N381" s="38">
        <v>7.05</v>
      </c>
    </row>
    <row r="382" spans="1:14" x14ac:dyDescent="0.3">
      <c r="A382" s="33">
        <v>45511</v>
      </c>
      <c r="B382" s="34" t="s">
        <v>64</v>
      </c>
      <c r="C382" s="34" t="s">
        <v>67</v>
      </c>
      <c r="D382" s="34" t="s">
        <v>71</v>
      </c>
      <c r="E382" s="34" t="s">
        <v>63</v>
      </c>
      <c r="F382" s="35">
        <v>41307</v>
      </c>
      <c r="G382" s="35">
        <v>1367</v>
      </c>
      <c r="H382" s="36">
        <v>3.3099999999999997E-2</v>
      </c>
      <c r="I382" s="37">
        <v>0.56999999999999995</v>
      </c>
      <c r="J382" s="37">
        <v>779.19</v>
      </c>
      <c r="K382" s="35">
        <v>92</v>
      </c>
      <c r="L382" s="37">
        <v>8.4700000000000006</v>
      </c>
      <c r="M382" s="37">
        <v>6211.99</v>
      </c>
      <c r="N382" s="38">
        <v>7.97</v>
      </c>
    </row>
    <row r="383" spans="1:14" x14ac:dyDescent="0.3">
      <c r="A383" s="33">
        <v>45424</v>
      </c>
      <c r="B383" s="34" t="s">
        <v>74</v>
      </c>
      <c r="C383" s="34" t="s">
        <v>67</v>
      </c>
      <c r="D383" s="34" t="s">
        <v>65</v>
      </c>
      <c r="E383" s="34" t="s">
        <v>66</v>
      </c>
      <c r="F383" s="35">
        <v>174579</v>
      </c>
      <c r="G383" s="35">
        <v>3247</v>
      </c>
      <c r="H383" s="36">
        <v>1.8599999999999998E-2</v>
      </c>
      <c r="I383" s="37">
        <v>1.33</v>
      </c>
      <c r="J383" s="37">
        <v>4318.51</v>
      </c>
      <c r="K383" s="35">
        <v>187</v>
      </c>
      <c r="L383" s="37">
        <v>23.09</v>
      </c>
      <c r="M383" s="37">
        <v>41760.07</v>
      </c>
      <c r="N383" s="38">
        <v>9.67</v>
      </c>
    </row>
    <row r="384" spans="1:14" x14ac:dyDescent="0.3">
      <c r="A384" s="33">
        <v>45336</v>
      </c>
      <c r="B384" s="34" t="s">
        <v>74</v>
      </c>
      <c r="C384" s="34" t="s">
        <v>67</v>
      </c>
      <c r="D384" s="34" t="s">
        <v>71</v>
      </c>
      <c r="E384" s="34" t="s">
        <v>77</v>
      </c>
      <c r="F384" s="35">
        <v>83137</v>
      </c>
      <c r="G384" s="35">
        <v>2045</v>
      </c>
      <c r="H384" s="36">
        <v>2.46E-2</v>
      </c>
      <c r="I384" s="37">
        <v>1.01</v>
      </c>
      <c r="J384" s="37">
        <v>2065.4499999999998</v>
      </c>
      <c r="K384" s="35">
        <v>37</v>
      </c>
      <c r="L384" s="37">
        <v>55.82</v>
      </c>
      <c r="M384" s="37">
        <v>1798.59</v>
      </c>
      <c r="N384" s="38">
        <v>0.87</v>
      </c>
    </row>
    <row r="385" spans="1:14" x14ac:dyDescent="0.3">
      <c r="A385" s="33">
        <v>45295</v>
      </c>
      <c r="B385" s="34" t="s">
        <v>74</v>
      </c>
      <c r="C385" s="34" t="s">
        <v>61</v>
      </c>
      <c r="D385" s="34" t="s">
        <v>68</v>
      </c>
      <c r="E385" s="34" t="s">
        <v>66</v>
      </c>
      <c r="F385" s="35">
        <v>122897</v>
      </c>
      <c r="G385" s="35">
        <v>2040</v>
      </c>
      <c r="H385" s="36">
        <v>1.66E-2</v>
      </c>
      <c r="I385" s="37">
        <v>0.77</v>
      </c>
      <c r="J385" s="37">
        <v>1570.8</v>
      </c>
      <c r="K385" s="35">
        <v>159</v>
      </c>
      <c r="L385" s="37">
        <v>9.8800000000000008</v>
      </c>
      <c r="M385" s="37">
        <v>45753.83</v>
      </c>
      <c r="N385" s="38">
        <v>29.13</v>
      </c>
    </row>
    <row r="386" spans="1:14" x14ac:dyDescent="0.3">
      <c r="A386" s="33">
        <v>45582</v>
      </c>
      <c r="B386" s="34" t="s">
        <v>64</v>
      </c>
      <c r="C386" s="34" t="s">
        <v>61</v>
      </c>
      <c r="D386" s="34" t="s">
        <v>68</v>
      </c>
      <c r="E386" s="34" t="s">
        <v>77</v>
      </c>
      <c r="F386" s="35">
        <v>47462</v>
      </c>
      <c r="G386" s="35">
        <v>1803</v>
      </c>
      <c r="H386" s="36">
        <v>3.7999999999999999E-2</v>
      </c>
      <c r="I386" s="37">
        <v>0.53</v>
      </c>
      <c r="J386" s="37">
        <v>955.59</v>
      </c>
      <c r="K386" s="35">
        <v>98</v>
      </c>
      <c r="L386" s="37">
        <v>9.75</v>
      </c>
      <c r="M386" s="37">
        <v>29213.279999999999</v>
      </c>
      <c r="N386" s="38">
        <v>30.57</v>
      </c>
    </row>
    <row r="387" spans="1:14" x14ac:dyDescent="0.3">
      <c r="A387" s="33">
        <v>45462</v>
      </c>
      <c r="B387" s="34" t="s">
        <v>64</v>
      </c>
      <c r="C387" s="34" t="s">
        <v>75</v>
      </c>
      <c r="D387" s="34" t="s">
        <v>65</v>
      </c>
      <c r="E387" s="34" t="s">
        <v>72</v>
      </c>
      <c r="F387" s="35">
        <v>99202</v>
      </c>
      <c r="G387" s="35">
        <v>6428</v>
      </c>
      <c r="H387" s="36">
        <v>6.4799999999999996E-2</v>
      </c>
      <c r="I387" s="37">
        <v>1.54</v>
      </c>
      <c r="J387" s="37">
        <v>9899.1200000000008</v>
      </c>
      <c r="K387" s="35">
        <v>165</v>
      </c>
      <c r="L387" s="37">
        <v>59.99</v>
      </c>
      <c r="M387" s="37">
        <v>34456.26</v>
      </c>
      <c r="N387" s="38">
        <v>3.48</v>
      </c>
    </row>
    <row r="388" spans="1:14" x14ac:dyDescent="0.3">
      <c r="A388" s="33">
        <v>45348</v>
      </c>
      <c r="B388" s="34" t="s">
        <v>74</v>
      </c>
      <c r="C388" s="34" t="s">
        <v>70</v>
      </c>
      <c r="D388" s="34" t="s">
        <v>71</v>
      </c>
      <c r="E388" s="34" t="s">
        <v>69</v>
      </c>
      <c r="F388" s="35">
        <v>125871</v>
      </c>
      <c r="G388" s="35">
        <v>3083</v>
      </c>
      <c r="H388" s="36">
        <v>2.4500000000000001E-2</v>
      </c>
      <c r="I388" s="37">
        <v>1.72</v>
      </c>
      <c r="J388" s="37">
        <v>5302.76</v>
      </c>
      <c r="K388" s="35">
        <v>185</v>
      </c>
      <c r="L388" s="37">
        <v>28.66</v>
      </c>
      <c r="M388" s="37">
        <v>27759.15</v>
      </c>
      <c r="N388" s="38">
        <v>5.23</v>
      </c>
    </row>
    <row r="389" spans="1:14" x14ac:dyDescent="0.3">
      <c r="A389" s="33">
        <v>45361</v>
      </c>
      <c r="B389" s="34" t="s">
        <v>60</v>
      </c>
      <c r="C389" s="34" t="s">
        <v>61</v>
      </c>
      <c r="D389" s="34" t="s">
        <v>68</v>
      </c>
      <c r="E389" s="34" t="s">
        <v>66</v>
      </c>
      <c r="F389" s="35">
        <v>8880</v>
      </c>
      <c r="G389" s="35">
        <v>216</v>
      </c>
      <c r="H389" s="36">
        <v>2.4400000000000002E-2</v>
      </c>
      <c r="I389" s="37">
        <v>2.06</v>
      </c>
      <c r="J389" s="37">
        <v>444.96</v>
      </c>
      <c r="K389" s="35">
        <v>6</v>
      </c>
      <c r="L389" s="37">
        <v>74.16</v>
      </c>
      <c r="M389" s="37">
        <v>1186.19</v>
      </c>
      <c r="N389" s="38">
        <v>2.67</v>
      </c>
    </row>
    <row r="390" spans="1:14" x14ac:dyDescent="0.3">
      <c r="A390" s="33">
        <v>45626</v>
      </c>
      <c r="B390" s="34" t="s">
        <v>60</v>
      </c>
      <c r="C390" s="34" t="s">
        <v>70</v>
      </c>
      <c r="D390" s="34" t="s">
        <v>65</v>
      </c>
      <c r="E390" s="34" t="s">
        <v>69</v>
      </c>
      <c r="F390" s="35">
        <v>156388</v>
      </c>
      <c r="G390" s="35">
        <v>7021</v>
      </c>
      <c r="H390" s="36">
        <v>4.4900000000000002E-2</v>
      </c>
      <c r="I390" s="37">
        <v>1.64</v>
      </c>
      <c r="J390" s="37">
        <v>11514.44</v>
      </c>
      <c r="K390" s="35">
        <v>315</v>
      </c>
      <c r="L390" s="37">
        <v>36.549999999999997</v>
      </c>
      <c r="M390" s="37">
        <v>34670.519999999997</v>
      </c>
      <c r="N390" s="38">
        <v>3.01</v>
      </c>
    </row>
    <row r="391" spans="1:14" x14ac:dyDescent="0.3">
      <c r="A391" s="33">
        <v>45378</v>
      </c>
      <c r="B391" s="34" t="s">
        <v>60</v>
      </c>
      <c r="C391" s="34" t="s">
        <v>67</v>
      </c>
      <c r="D391" s="34" t="s">
        <v>65</v>
      </c>
      <c r="E391" s="34" t="s">
        <v>66</v>
      </c>
      <c r="F391" s="35">
        <v>109672</v>
      </c>
      <c r="G391" s="35">
        <v>2675</v>
      </c>
      <c r="H391" s="36">
        <v>2.4400000000000002E-2</v>
      </c>
      <c r="I391" s="37">
        <v>2.5499999999999998</v>
      </c>
      <c r="J391" s="37">
        <v>6821.25</v>
      </c>
      <c r="K391" s="35">
        <v>50</v>
      </c>
      <c r="L391" s="37">
        <v>136.43</v>
      </c>
      <c r="M391" s="37">
        <v>11521.03</v>
      </c>
      <c r="N391" s="38">
        <v>1.69</v>
      </c>
    </row>
    <row r="392" spans="1:14" x14ac:dyDescent="0.3">
      <c r="A392" s="33">
        <v>45419</v>
      </c>
      <c r="B392" s="34" t="s">
        <v>74</v>
      </c>
      <c r="C392" s="34" t="s">
        <v>75</v>
      </c>
      <c r="D392" s="34" t="s">
        <v>71</v>
      </c>
      <c r="E392" s="34" t="s">
        <v>63</v>
      </c>
      <c r="F392" s="35">
        <v>70030</v>
      </c>
      <c r="G392" s="35">
        <v>1470</v>
      </c>
      <c r="H392" s="36">
        <v>2.1000000000000001E-2</v>
      </c>
      <c r="I392" s="37">
        <v>1.68</v>
      </c>
      <c r="J392" s="37">
        <v>2469.6</v>
      </c>
      <c r="K392" s="35">
        <v>90</v>
      </c>
      <c r="L392" s="37">
        <v>27.44</v>
      </c>
      <c r="M392" s="37">
        <v>9384.9</v>
      </c>
      <c r="N392" s="38">
        <v>3.8</v>
      </c>
    </row>
    <row r="393" spans="1:14" x14ac:dyDescent="0.3">
      <c r="A393" s="33">
        <v>45294</v>
      </c>
      <c r="B393" s="34" t="s">
        <v>74</v>
      </c>
      <c r="C393" s="34" t="s">
        <v>67</v>
      </c>
      <c r="D393" s="34" t="s">
        <v>65</v>
      </c>
      <c r="E393" s="34" t="s">
        <v>77</v>
      </c>
      <c r="F393" s="35">
        <v>149375</v>
      </c>
      <c r="G393" s="35">
        <v>6109</v>
      </c>
      <c r="H393" s="36">
        <v>4.0899999999999999E-2</v>
      </c>
      <c r="I393" s="37">
        <v>2.1800000000000002</v>
      </c>
      <c r="J393" s="37">
        <v>13317.62</v>
      </c>
      <c r="K393" s="35">
        <v>89</v>
      </c>
      <c r="L393" s="37">
        <v>149.63999999999999</v>
      </c>
      <c r="M393" s="37">
        <v>22418.799999999999</v>
      </c>
      <c r="N393" s="38">
        <v>1.68</v>
      </c>
    </row>
    <row r="394" spans="1:14" x14ac:dyDescent="0.3">
      <c r="A394" s="33">
        <v>45450</v>
      </c>
      <c r="B394" s="34" t="s">
        <v>74</v>
      </c>
      <c r="C394" s="34" t="s">
        <v>61</v>
      </c>
      <c r="D394" s="34" t="s">
        <v>62</v>
      </c>
      <c r="E394" s="34" t="s">
        <v>73</v>
      </c>
      <c r="F394" s="35">
        <v>123171</v>
      </c>
      <c r="G394" s="35">
        <v>3756</v>
      </c>
      <c r="H394" s="36">
        <v>3.0499999999999999E-2</v>
      </c>
      <c r="I394" s="37">
        <v>1.86</v>
      </c>
      <c r="J394" s="37">
        <v>6986.16</v>
      </c>
      <c r="K394" s="35">
        <v>52</v>
      </c>
      <c r="L394" s="37">
        <v>134.35</v>
      </c>
      <c r="M394" s="37">
        <v>7553.6</v>
      </c>
      <c r="N394" s="38">
        <v>1.08</v>
      </c>
    </row>
    <row r="395" spans="1:14" x14ac:dyDescent="0.3">
      <c r="A395" s="33">
        <v>45367</v>
      </c>
      <c r="B395" s="34" t="s">
        <v>74</v>
      </c>
      <c r="C395" s="34" t="s">
        <v>61</v>
      </c>
      <c r="D395" s="34" t="s">
        <v>71</v>
      </c>
      <c r="E395" s="34" t="s">
        <v>66</v>
      </c>
      <c r="F395" s="35">
        <v>52779</v>
      </c>
      <c r="G395" s="35">
        <v>596</v>
      </c>
      <c r="H395" s="36">
        <v>1.1299999999999999E-2</v>
      </c>
      <c r="I395" s="37">
        <v>1.0900000000000001</v>
      </c>
      <c r="J395" s="37">
        <v>649.64</v>
      </c>
      <c r="K395" s="35">
        <v>35</v>
      </c>
      <c r="L395" s="37">
        <v>18.559999999999999</v>
      </c>
      <c r="M395" s="37">
        <v>3583.95</v>
      </c>
      <c r="N395" s="38">
        <v>5.52</v>
      </c>
    </row>
    <row r="396" spans="1:14" x14ac:dyDescent="0.3">
      <c r="A396" s="33">
        <v>45435</v>
      </c>
      <c r="B396" s="34" t="s">
        <v>60</v>
      </c>
      <c r="C396" s="34" t="s">
        <v>75</v>
      </c>
      <c r="D396" s="34" t="s">
        <v>62</v>
      </c>
      <c r="E396" s="34" t="s">
        <v>69</v>
      </c>
      <c r="F396" s="35">
        <v>117036</v>
      </c>
      <c r="G396" s="35">
        <v>3569</v>
      </c>
      <c r="H396" s="36">
        <v>3.0499999999999999E-2</v>
      </c>
      <c r="I396" s="37">
        <v>2.13</v>
      </c>
      <c r="J396" s="37">
        <v>7601.97</v>
      </c>
      <c r="K396" s="35">
        <v>178</v>
      </c>
      <c r="L396" s="37">
        <v>42.71</v>
      </c>
      <c r="M396" s="37">
        <v>11935.14</v>
      </c>
      <c r="N396" s="38">
        <v>1.57</v>
      </c>
    </row>
    <row r="397" spans="1:14" x14ac:dyDescent="0.3">
      <c r="A397" s="33">
        <v>45490</v>
      </c>
      <c r="B397" s="34" t="s">
        <v>64</v>
      </c>
      <c r="C397" s="34" t="s">
        <v>70</v>
      </c>
      <c r="D397" s="34" t="s">
        <v>76</v>
      </c>
      <c r="E397" s="34" t="s">
        <v>63</v>
      </c>
      <c r="F397" s="35">
        <v>177517</v>
      </c>
      <c r="G397" s="35">
        <v>13917</v>
      </c>
      <c r="H397" s="36">
        <v>7.8399999999999997E-2</v>
      </c>
      <c r="I397" s="37">
        <v>0.91</v>
      </c>
      <c r="J397" s="37">
        <v>12664.47</v>
      </c>
      <c r="K397" s="35">
        <v>671</v>
      </c>
      <c r="L397" s="37">
        <v>18.87</v>
      </c>
      <c r="M397" s="37">
        <v>36680.47</v>
      </c>
      <c r="N397" s="38">
        <v>2.9</v>
      </c>
    </row>
    <row r="398" spans="1:14" x14ac:dyDescent="0.3">
      <c r="A398" s="33">
        <v>45656</v>
      </c>
      <c r="B398" s="34" t="s">
        <v>64</v>
      </c>
      <c r="C398" s="34" t="s">
        <v>61</v>
      </c>
      <c r="D398" s="34" t="s">
        <v>65</v>
      </c>
      <c r="E398" s="34" t="s">
        <v>72</v>
      </c>
      <c r="F398" s="35">
        <v>196349</v>
      </c>
      <c r="G398" s="35">
        <v>8325</v>
      </c>
      <c r="H398" s="36">
        <v>4.24E-2</v>
      </c>
      <c r="I398" s="37">
        <v>0.69</v>
      </c>
      <c r="J398" s="37">
        <v>5744.25</v>
      </c>
      <c r="K398" s="35">
        <v>398</v>
      </c>
      <c r="L398" s="37">
        <v>14.43</v>
      </c>
      <c r="M398" s="37">
        <v>42464.91</v>
      </c>
      <c r="N398" s="38">
        <v>7.39</v>
      </c>
    </row>
    <row r="399" spans="1:14" x14ac:dyDescent="0.3">
      <c r="A399" s="33">
        <v>45596</v>
      </c>
      <c r="B399" s="34" t="s">
        <v>64</v>
      </c>
      <c r="C399" s="34" t="s">
        <v>61</v>
      </c>
      <c r="D399" s="34" t="s">
        <v>71</v>
      </c>
      <c r="E399" s="34" t="s">
        <v>63</v>
      </c>
      <c r="F399" s="35">
        <v>174898</v>
      </c>
      <c r="G399" s="35">
        <v>13029</v>
      </c>
      <c r="H399" s="36">
        <v>7.4499999999999997E-2</v>
      </c>
      <c r="I399" s="37">
        <v>1.26</v>
      </c>
      <c r="J399" s="37">
        <v>16416.54</v>
      </c>
      <c r="K399" s="35">
        <v>822</v>
      </c>
      <c r="L399" s="37">
        <v>19.97</v>
      </c>
      <c r="M399" s="37">
        <v>162206.84</v>
      </c>
      <c r="N399" s="38">
        <v>9.8800000000000008</v>
      </c>
    </row>
    <row r="400" spans="1:14" x14ac:dyDescent="0.3">
      <c r="A400" s="33">
        <v>45473</v>
      </c>
      <c r="B400" s="34" t="s">
        <v>60</v>
      </c>
      <c r="C400" s="34" t="s">
        <v>75</v>
      </c>
      <c r="D400" s="34" t="s">
        <v>65</v>
      </c>
      <c r="E400" s="34" t="s">
        <v>69</v>
      </c>
      <c r="F400" s="35">
        <v>83972</v>
      </c>
      <c r="G400" s="35">
        <v>4903</v>
      </c>
      <c r="H400" s="36">
        <v>5.8400000000000001E-2</v>
      </c>
      <c r="I400" s="37">
        <v>2.9</v>
      </c>
      <c r="J400" s="37">
        <v>14218.7</v>
      </c>
      <c r="K400" s="35">
        <v>341</v>
      </c>
      <c r="L400" s="37">
        <v>41.7</v>
      </c>
      <c r="M400" s="37">
        <v>36574.449999999997</v>
      </c>
      <c r="N400" s="38">
        <v>2.57</v>
      </c>
    </row>
    <row r="401" spans="1:14" x14ac:dyDescent="0.3">
      <c r="A401" s="33">
        <v>45408</v>
      </c>
      <c r="B401" s="34" t="s">
        <v>74</v>
      </c>
      <c r="C401" s="34" t="s">
        <v>61</v>
      </c>
      <c r="D401" s="34" t="s">
        <v>62</v>
      </c>
      <c r="E401" s="34" t="s">
        <v>69</v>
      </c>
      <c r="F401" s="35">
        <v>165371</v>
      </c>
      <c r="G401" s="35">
        <v>2993</v>
      </c>
      <c r="H401" s="36">
        <v>1.8100000000000002E-2</v>
      </c>
      <c r="I401" s="37">
        <v>1.51</v>
      </c>
      <c r="J401" s="37">
        <v>4519.43</v>
      </c>
      <c r="K401" s="35">
        <v>32</v>
      </c>
      <c r="L401" s="37">
        <v>141.22999999999999</v>
      </c>
      <c r="M401" s="37">
        <v>8918.68</v>
      </c>
      <c r="N401" s="38">
        <v>1.97</v>
      </c>
    </row>
    <row r="402" spans="1:14" x14ac:dyDescent="0.3">
      <c r="A402" s="33">
        <v>45534</v>
      </c>
      <c r="B402" s="34" t="s">
        <v>64</v>
      </c>
      <c r="C402" s="34" t="s">
        <v>70</v>
      </c>
      <c r="D402" s="34" t="s">
        <v>62</v>
      </c>
      <c r="E402" s="34" t="s">
        <v>69</v>
      </c>
      <c r="F402" s="35">
        <v>133949</v>
      </c>
      <c r="G402" s="35">
        <v>7219</v>
      </c>
      <c r="H402" s="36">
        <v>5.3900000000000003E-2</v>
      </c>
      <c r="I402" s="37">
        <v>1.52</v>
      </c>
      <c r="J402" s="37">
        <v>10972.88</v>
      </c>
      <c r="K402" s="35">
        <v>73</v>
      </c>
      <c r="L402" s="37">
        <v>150.31</v>
      </c>
      <c r="M402" s="37">
        <v>21583.279999999999</v>
      </c>
      <c r="N402" s="38">
        <v>1.97</v>
      </c>
    </row>
    <row r="403" spans="1:14" x14ac:dyDescent="0.3">
      <c r="A403" s="33">
        <v>45550</v>
      </c>
      <c r="B403" s="34" t="s">
        <v>64</v>
      </c>
      <c r="C403" s="34" t="s">
        <v>75</v>
      </c>
      <c r="D403" s="34" t="s">
        <v>62</v>
      </c>
      <c r="E403" s="34" t="s">
        <v>78</v>
      </c>
      <c r="F403" s="35">
        <v>105400</v>
      </c>
      <c r="G403" s="35">
        <v>7704</v>
      </c>
      <c r="H403" s="36">
        <v>7.3099999999999998E-2</v>
      </c>
      <c r="I403" s="37">
        <v>1.1100000000000001</v>
      </c>
      <c r="J403" s="37">
        <v>8551.44</v>
      </c>
      <c r="K403" s="35">
        <v>442</v>
      </c>
      <c r="L403" s="37">
        <v>19.350000000000001</v>
      </c>
      <c r="M403" s="37">
        <v>49251.38</v>
      </c>
      <c r="N403" s="38">
        <v>5.76</v>
      </c>
    </row>
    <row r="404" spans="1:14" x14ac:dyDescent="0.3">
      <c r="A404" s="33">
        <v>45508</v>
      </c>
      <c r="B404" s="34" t="s">
        <v>60</v>
      </c>
      <c r="C404" s="34" t="s">
        <v>70</v>
      </c>
      <c r="D404" s="34" t="s">
        <v>65</v>
      </c>
      <c r="E404" s="34" t="s">
        <v>69</v>
      </c>
      <c r="F404" s="35">
        <v>63959</v>
      </c>
      <c r="G404" s="35">
        <v>2014</v>
      </c>
      <c r="H404" s="36">
        <v>3.15E-2</v>
      </c>
      <c r="I404" s="37">
        <v>2.2799999999999998</v>
      </c>
      <c r="J404" s="37">
        <v>4591.92</v>
      </c>
      <c r="K404" s="35">
        <v>150</v>
      </c>
      <c r="L404" s="37">
        <v>30.61</v>
      </c>
      <c r="M404" s="37">
        <v>37769.589999999997</v>
      </c>
      <c r="N404" s="38">
        <v>8.23</v>
      </c>
    </row>
    <row r="405" spans="1:14" x14ac:dyDescent="0.3">
      <c r="A405" s="33">
        <v>45357</v>
      </c>
      <c r="B405" s="34" t="s">
        <v>60</v>
      </c>
      <c r="C405" s="34" t="s">
        <v>61</v>
      </c>
      <c r="D405" s="34" t="s">
        <v>71</v>
      </c>
      <c r="E405" s="34" t="s">
        <v>77</v>
      </c>
      <c r="F405" s="35">
        <v>6044</v>
      </c>
      <c r="G405" s="35">
        <v>146</v>
      </c>
      <c r="H405" s="36">
        <v>2.4199999999999999E-2</v>
      </c>
      <c r="I405" s="37">
        <v>1.1299999999999999</v>
      </c>
      <c r="J405" s="37">
        <v>164.98</v>
      </c>
      <c r="K405" s="35">
        <v>5</v>
      </c>
      <c r="L405" s="37">
        <v>33</v>
      </c>
      <c r="M405" s="37">
        <v>611.36</v>
      </c>
      <c r="N405" s="38">
        <v>3.71</v>
      </c>
    </row>
    <row r="406" spans="1:14" x14ac:dyDescent="0.3">
      <c r="A406" s="33">
        <v>45390</v>
      </c>
      <c r="B406" s="34" t="s">
        <v>60</v>
      </c>
      <c r="C406" s="34" t="s">
        <v>70</v>
      </c>
      <c r="D406" s="34" t="s">
        <v>62</v>
      </c>
      <c r="E406" s="34" t="s">
        <v>69</v>
      </c>
      <c r="F406" s="35">
        <v>90945</v>
      </c>
      <c r="G406" s="35">
        <v>3637</v>
      </c>
      <c r="H406" s="36">
        <v>0.04</v>
      </c>
      <c r="I406" s="37">
        <v>3.02</v>
      </c>
      <c r="J406" s="37">
        <v>10983.74</v>
      </c>
      <c r="K406" s="35">
        <v>145</v>
      </c>
      <c r="L406" s="37">
        <v>75.75</v>
      </c>
      <c r="M406" s="37">
        <v>21488.5</v>
      </c>
      <c r="N406" s="38">
        <v>1.96</v>
      </c>
    </row>
    <row r="407" spans="1:14" x14ac:dyDescent="0.3">
      <c r="A407" s="33">
        <v>45323</v>
      </c>
      <c r="B407" s="34" t="s">
        <v>60</v>
      </c>
      <c r="C407" s="34" t="s">
        <v>61</v>
      </c>
      <c r="D407" s="34" t="s">
        <v>71</v>
      </c>
      <c r="E407" s="34" t="s">
        <v>66</v>
      </c>
      <c r="F407" s="35">
        <v>73681</v>
      </c>
      <c r="G407" s="35">
        <v>4457</v>
      </c>
      <c r="H407" s="36">
        <v>6.0499999999999998E-2</v>
      </c>
      <c r="I407" s="37">
        <v>1.77</v>
      </c>
      <c r="J407" s="37">
        <v>7888.89</v>
      </c>
      <c r="K407" s="35">
        <v>95</v>
      </c>
      <c r="L407" s="37">
        <v>83.04</v>
      </c>
      <c r="M407" s="37">
        <v>11815.26</v>
      </c>
      <c r="N407" s="38">
        <v>1.5</v>
      </c>
    </row>
    <row r="408" spans="1:14" x14ac:dyDescent="0.3">
      <c r="A408" s="33">
        <v>45640</v>
      </c>
      <c r="B408" s="34" t="s">
        <v>60</v>
      </c>
      <c r="C408" s="34" t="s">
        <v>75</v>
      </c>
      <c r="D408" s="34" t="s">
        <v>68</v>
      </c>
      <c r="E408" s="34" t="s">
        <v>78</v>
      </c>
      <c r="F408" s="35">
        <v>195545</v>
      </c>
      <c r="G408" s="35">
        <v>8799</v>
      </c>
      <c r="H408" s="36">
        <v>4.4999999999999998E-2</v>
      </c>
      <c r="I408" s="37">
        <v>2.98</v>
      </c>
      <c r="J408" s="37">
        <v>26221.02</v>
      </c>
      <c r="K408" s="35">
        <v>444</v>
      </c>
      <c r="L408" s="37">
        <v>59.06</v>
      </c>
      <c r="M408" s="37">
        <v>122723.09</v>
      </c>
      <c r="N408" s="38">
        <v>4.68</v>
      </c>
    </row>
    <row r="409" spans="1:14" x14ac:dyDescent="0.3">
      <c r="A409" s="33">
        <v>45487</v>
      </c>
      <c r="B409" s="34" t="s">
        <v>60</v>
      </c>
      <c r="C409" s="34" t="s">
        <v>70</v>
      </c>
      <c r="D409" s="34" t="s">
        <v>76</v>
      </c>
      <c r="E409" s="34" t="s">
        <v>69</v>
      </c>
      <c r="F409" s="35">
        <v>46846</v>
      </c>
      <c r="G409" s="35">
        <v>2183</v>
      </c>
      <c r="H409" s="36">
        <v>4.6600000000000003E-2</v>
      </c>
      <c r="I409" s="37">
        <v>3.36</v>
      </c>
      <c r="J409" s="37">
        <v>7334.88</v>
      </c>
      <c r="K409" s="35">
        <v>46</v>
      </c>
      <c r="L409" s="37">
        <v>159.44999999999999</v>
      </c>
      <c r="M409" s="37">
        <v>5098.84</v>
      </c>
      <c r="N409" s="38">
        <v>0.7</v>
      </c>
    </row>
    <row r="410" spans="1:14" x14ac:dyDescent="0.3">
      <c r="A410" s="33">
        <v>45476</v>
      </c>
      <c r="B410" s="34" t="s">
        <v>60</v>
      </c>
      <c r="C410" s="34" t="s">
        <v>70</v>
      </c>
      <c r="D410" s="34" t="s">
        <v>68</v>
      </c>
      <c r="E410" s="34" t="s">
        <v>73</v>
      </c>
      <c r="F410" s="35">
        <v>183428</v>
      </c>
      <c r="G410" s="35">
        <v>4549</v>
      </c>
      <c r="H410" s="36">
        <v>2.4799999999999999E-2</v>
      </c>
      <c r="I410" s="37">
        <v>2.11</v>
      </c>
      <c r="J410" s="37">
        <v>9598.39</v>
      </c>
      <c r="K410" s="35">
        <v>135</v>
      </c>
      <c r="L410" s="37">
        <v>71.099999999999994</v>
      </c>
      <c r="M410" s="37">
        <v>6604</v>
      </c>
      <c r="N410" s="38">
        <v>0.69</v>
      </c>
    </row>
    <row r="411" spans="1:14" x14ac:dyDescent="0.3">
      <c r="A411" s="33">
        <v>45421</v>
      </c>
      <c r="B411" s="34" t="s">
        <v>60</v>
      </c>
      <c r="C411" s="34" t="s">
        <v>70</v>
      </c>
      <c r="D411" s="34" t="s">
        <v>65</v>
      </c>
      <c r="E411" s="34" t="s">
        <v>78</v>
      </c>
      <c r="F411" s="35">
        <v>173913</v>
      </c>
      <c r="G411" s="35">
        <v>5860</v>
      </c>
      <c r="H411" s="36">
        <v>3.3700000000000001E-2</v>
      </c>
      <c r="I411" s="37">
        <v>3.46</v>
      </c>
      <c r="J411" s="37">
        <v>20275.599999999999</v>
      </c>
      <c r="K411" s="35">
        <v>111</v>
      </c>
      <c r="L411" s="37">
        <v>182.66</v>
      </c>
      <c r="M411" s="37">
        <v>20779.66</v>
      </c>
      <c r="N411" s="38">
        <v>1.02</v>
      </c>
    </row>
    <row r="412" spans="1:14" x14ac:dyDescent="0.3">
      <c r="A412" s="33">
        <v>45417</v>
      </c>
      <c r="B412" s="34" t="s">
        <v>60</v>
      </c>
      <c r="C412" s="34" t="s">
        <v>67</v>
      </c>
      <c r="D412" s="34" t="s">
        <v>71</v>
      </c>
      <c r="E412" s="34" t="s">
        <v>69</v>
      </c>
      <c r="F412" s="35">
        <v>190541</v>
      </c>
      <c r="G412" s="35">
        <v>9527</v>
      </c>
      <c r="H412" s="36">
        <v>0.05</v>
      </c>
      <c r="I412" s="37">
        <v>2.17</v>
      </c>
      <c r="J412" s="37">
        <v>20673.59</v>
      </c>
      <c r="K412" s="35">
        <v>157</v>
      </c>
      <c r="L412" s="37">
        <v>131.68</v>
      </c>
      <c r="M412" s="37">
        <v>5416.71</v>
      </c>
      <c r="N412" s="38">
        <v>0.26</v>
      </c>
    </row>
    <row r="413" spans="1:14" x14ac:dyDescent="0.3">
      <c r="A413" s="33">
        <v>45546</v>
      </c>
      <c r="B413" s="34" t="s">
        <v>64</v>
      </c>
      <c r="C413" s="34" t="s">
        <v>67</v>
      </c>
      <c r="D413" s="34" t="s">
        <v>71</v>
      </c>
      <c r="E413" s="34" t="s">
        <v>73</v>
      </c>
      <c r="F413" s="35">
        <v>122116</v>
      </c>
      <c r="G413" s="35">
        <v>5507</v>
      </c>
      <c r="H413" s="36">
        <v>4.5100000000000001E-2</v>
      </c>
      <c r="I413" s="37">
        <v>0.98</v>
      </c>
      <c r="J413" s="37">
        <v>5396.86</v>
      </c>
      <c r="K413" s="35">
        <v>110</v>
      </c>
      <c r="L413" s="37">
        <v>49.06</v>
      </c>
      <c r="M413" s="37">
        <v>3555.98</v>
      </c>
      <c r="N413" s="38">
        <v>0.66</v>
      </c>
    </row>
    <row r="414" spans="1:14" x14ac:dyDescent="0.3">
      <c r="A414" s="33">
        <v>45374</v>
      </c>
      <c r="B414" s="34" t="s">
        <v>60</v>
      </c>
      <c r="C414" s="34" t="s">
        <v>75</v>
      </c>
      <c r="D414" s="34" t="s">
        <v>62</v>
      </c>
      <c r="E414" s="34" t="s">
        <v>77</v>
      </c>
      <c r="F414" s="35">
        <v>47879</v>
      </c>
      <c r="G414" s="35">
        <v>1149</v>
      </c>
      <c r="H414" s="36">
        <v>2.4E-2</v>
      </c>
      <c r="I414" s="37">
        <v>3.06</v>
      </c>
      <c r="J414" s="37">
        <v>3515.94</v>
      </c>
      <c r="K414" s="35">
        <v>25</v>
      </c>
      <c r="L414" s="37">
        <v>140.63999999999999</v>
      </c>
      <c r="M414" s="37">
        <v>3124.11</v>
      </c>
      <c r="N414" s="38">
        <v>0.89</v>
      </c>
    </row>
    <row r="415" spans="1:14" x14ac:dyDescent="0.3">
      <c r="A415" s="33">
        <v>45573</v>
      </c>
      <c r="B415" s="34" t="s">
        <v>74</v>
      </c>
      <c r="C415" s="34" t="s">
        <v>61</v>
      </c>
      <c r="D415" s="34" t="s">
        <v>68</v>
      </c>
      <c r="E415" s="34" t="s">
        <v>69</v>
      </c>
      <c r="F415" s="35">
        <v>164876</v>
      </c>
      <c r="G415" s="35">
        <v>5820</v>
      </c>
      <c r="H415" s="36">
        <v>3.5299999999999998E-2</v>
      </c>
      <c r="I415" s="37">
        <v>0.74</v>
      </c>
      <c r="J415" s="37">
        <v>4306.8</v>
      </c>
      <c r="K415" s="35">
        <v>463</v>
      </c>
      <c r="L415" s="37">
        <v>9.3000000000000007</v>
      </c>
      <c r="M415" s="37">
        <v>73917.740000000005</v>
      </c>
      <c r="N415" s="38">
        <v>17.16</v>
      </c>
    </row>
    <row r="416" spans="1:14" x14ac:dyDescent="0.3">
      <c r="A416" s="33">
        <v>45425</v>
      </c>
      <c r="B416" s="34" t="s">
        <v>74</v>
      </c>
      <c r="C416" s="34" t="s">
        <v>75</v>
      </c>
      <c r="D416" s="34" t="s">
        <v>71</v>
      </c>
      <c r="E416" s="34" t="s">
        <v>69</v>
      </c>
      <c r="F416" s="35">
        <v>163253</v>
      </c>
      <c r="G416" s="35">
        <v>1779</v>
      </c>
      <c r="H416" s="36">
        <v>1.09E-2</v>
      </c>
      <c r="I416" s="37">
        <v>0.51</v>
      </c>
      <c r="J416" s="37">
        <v>907.29</v>
      </c>
      <c r="K416" s="35">
        <v>121</v>
      </c>
      <c r="L416" s="37">
        <v>7.5</v>
      </c>
      <c r="M416" s="37">
        <v>18762.73</v>
      </c>
      <c r="N416" s="38">
        <v>20.68</v>
      </c>
    </row>
    <row r="417" spans="1:14" x14ac:dyDescent="0.3">
      <c r="A417" s="33">
        <v>45569</v>
      </c>
      <c r="B417" s="34" t="s">
        <v>74</v>
      </c>
      <c r="C417" s="34" t="s">
        <v>70</v>
      </c>
      <c r="D417" s="34" t="s">
        <v>62</v>
      </c>
      <c r="E417" s="34" t="s">
        <v>77</v>
      </c>
      <c r="F417" s="35">
        <v>120631</v>
      </c>
      <c r="G417" s="35">
        <v>1532</v>
      </c>
      <c r="H417" s="36">
        <v>1.2699999999999999E-2</v>
      </c>
      <c r="I417" s="37">
        <v>0.77</v>
      </c>
      <c r="J417" s="37">
        <v>1179.6400000000001</v>
      </c>
      <c r="K417" s="35">
        <v>114</v>
      </c>
      <c r="L417" s="37">
        <v>10.35</v>
      </c>
      <c r="M417" s="37">
        <v>25286.78</v>
      </c>
      <c r="N417" s="38">
        <v>21.44</v>
      </c>
    </row>
    <row r="418" spans="1:14" x14ac:dyDescent="0.3">
      <c r="A418" s="33">
        <v>45411</v>
      </c>
      <c r="B418" s="34" t="s">
        <v>74</v>
      </c>
      <c r="C418" s="34" t="s">
        <v>75</v>
      </c>
      <c r="D418" s="34" t="s">
        <v>62</v>
      </c>
      <c r="E418" s="34" t="s">
        <v>78</v>
      </c>
      <c r="F418" s="35">
        <v>12610</v>
      </c>
      <c r="G418" s="35">
        <v>197</v>
      </c>
      <c r="H418" s="36">
        <v>1.5699999999999999E-2</v>
      </c>
      <c r="I418" s="37">
        <v>0.66</v>
      </c>
      <c r="J418" s="37">
        <v>130.02000000000001</v>
      </c>
      <c r="K418" s="35">
        <v>11</v>
      </c>
      <c r="L418" s="37">
        <v>11.82</v>
      </c>
      <c r="M418" s="37">
        <v>2637.16</v>
      </c>
      <c r="N418" s="38">
        <v>20.28</v>
      </c>
    </row>
    <row r="419" spans="1:14" x14ac:dyDescent="0.3">
      <c r="A419" s="33">
        <v>45303</v>
      </c>
      <c r="B419" s="34" t="s">
        <v>74</v>
      </c>
      <c r="C419" s="34" t="s">
        <v>67</v>
      </c>
      <c r="D419" s="34" t="s">
        <v>68</v>
      </c>
      <c r="E419" s="34" t="s">
        <v>66</v>
      </c>
      <c r="F419" s="35">
        <v>62676</v>
      </c>
      <c r="G419" s="35">
        <v>595</v>
      </c>
      <c r="H419" s="36">
        <v>9.4999999999999998E-3</v>
      </c>
      <c r="I419" s="37">
        <v>2.42</v>
      </c>
      <c r="J419" s="37">
        <v>1439.9</v>
      </c>
      <c r="K419" s="35">
        <v>32</v>
      </c>
      <c r="L419" s="37">
        <v>45</v>
      </c>
      <c r="M419" s="37">
        <v>1319.08</v>
      </c>
      <c r="N419" s="38">
        <v>0.92</v>
      </c>
    </row>
    <row r="420" spans="1:14" x14ac:dyDescent="0.3">
      <c r="A420" s="33">
        <v>45483</v>
      </c>
      <c r="B420" s="34" t="s">
        <v>60</v>
      </c>
      <c r="C420" s="34" t="s">
        <v>61</v>
      </c>
      <c r="D420" s="34" t="s">
        <v>62</v>
      </c>
      <c r="E420" s="34" t="s">
        <v>66</v>
      </c>
      <c r="F420" s="35">
        <v>59943</v>
      </c>
      <c r="G420" s="35">
        <v>2163</v>
      </c>
      <c r="H420" s="36">
        <v>3.61E-2</v>
      </c>
      <c r="I420" s="37">
        <v>3.29</v>
      </c>
      <c r="J420" s="37">
        <v>7116.27</v>
      </c>
      <c r="K420" s="35">
        <v>114</v>
      </c>
      <c r="L420" s="37">
        <v>62.42</v>
      </c>
      <c r="M420" s="37">
        <v>4800.8100000000004</v>
      </c>
      <c r="N420" s="38">
        <v>0.67</v>
      </c>
    </row>
    <row r="421" spans="1:14" x14ac:dyDescent="0.3">
      <c r="A421" s="33">
        <v>45585</v>
      </c>
      <c r="B421" s="34" t="s">
        <v>74</v>
      </c>
      <c r="C421" s="34" t="s">
        <v>75</v>
      </c>
      <c r="D421" s="34" t="s">
        <v>71</v>
      </c>
      <c r="E421" s="34" t="s">
        <v>69</v>
      </c>
      <c r="F421" s="35">
        <v>78302</v>
      </c>
      <c r="G421" s="35">
        <v>900</v>
      </c>
      <c r="H421" s="36">
        <v>1.15E-2</v>
      </c>
      <c r="I421" s="37">
        <v>0.49</v>
      </c>
      <c r="J421" s="37">
        <v>441</v>
      </c>
      <c r="K421" s="35">
        <v>52</v>
      </c>
      <c r="L421" s="37">
        <v>8.48</v>
      </c>
      <c r="M421" s="37">
        <v>6354.23</v>
      </c>
      <c r="N421" s="38">
        <v>14.41</v>
      </c>
    </row>
    <row r="422" spans="1:14" x14ac:dyDescent="0.3">
      <c r="A422" s="33">
        <v>45539</v>
      </c>
      <c r="B422" s="34" t="s">
        <v>60</v>
      </c>
      <c r="C422" s="34" t="s">
        <v>67</v>
      </c>
      <c r="D422" s="34" t="s">
        <v>65</v>
      </c>
      <c r="E422" s="34" t="s">
        <v>66</v>
      </c>
      <c r="F422" s="35">
        <v>154805</v>
      </c>
      <c r="G422" s="35">
        <v>9535</v>
      </c>
      <c r="H422" s="36">
        <v>6.1600000000000002E-2</v>
      </c>
      <c r="I422" s="37">
        <v>0.96</v>
      </c>
      <c r="J422" s="37">
        <v>9153.6</v>
      </c>
      <c r="K422" s="35">
        <v>525</v>
      </c>
      <c r="L422" s="37">
        <v>17.440000000000001</v>
      </c>
      <c r="M422" s="37">
        <v>18155.37</v>
      </c>
      <c r="N422" s="38">
        <v>1.98</v>
      </c>
    </row>
    <row r="423" spans="1:14" x14ac:dyDescent="0.3">
      <c r="A423" s="33">
        <v>45421</v>
      </c>
      <c r="B423" s="34" t="s">
        <v>64</v>
      </c>
      <c r="C423" s="34" t="s">
        <v>67</v>
      </c>
      <c r="D423" s="34" t="s">
        <v>62</v>
      </c>
      <c r="E423" s="34" t="s">
        <v>78</v>
      </c>
      <c r="F423" s="35">
        <v>41839</v>
      </c>
      <c r="G423" s="35">
        <v>2991</v>
      </c>
      <c r="H423" s="36">
        <v>7.1499999999999994E-2</v>
      </c>
      <c r="I423" s="37">
        <v>0.99</v>
      </c>
      <c r="J423" s="37">
        <v>2961.09</v>
      </c>
      <c r="K423" s="35">
        <v>45</v>
      </c>
      <c r="L423" s="37">
        <v>65.8</v>
      </c>
      <c r="M423" s="37">
        <v>9665.89</v>
      </c>
      <c r="N423" s="38">
        <v>3.26</v>
      </c>
    </row>
    <row r="424" spans="1:14" x14ac:dyDescent="0.3">
      <c r="A424" s="33">
        <v>45460</v>
      </c>
      <c r="B424" s="34" t="s">
        <v>74</v>
      </c>
      <c r="C424" s="34" t="s">
        <v>70</v>
      </c>
      <c r="D424" s="34" t="s">
        <v>71</v>
      </c>
      <c r="E424" s="34" t="s">
        <v>77</v>
      </c>
      <c r="F424" s="35">
        <v>127872</v>
      </c>
      <c r="G424" s="35">
        <v>2953</v>
      </c>
      <c r="H424" s="36">
        <v>2.3099999999999999E-2</v>
      </c>
      <c r="I424" s="37">
        <v>0.59</v>
      </c>
      <c r="J424" s="37">
        <v>1742.27</v>
      </c>
      <c r="K424" s="35">
        <v>150</v>
      </c>
      <c r="L424" s="37">
        <v>11.62</v>
      </c>
      <c r="M424" s="37">
        <v>15282.38</v>
      </c>
      <c r="N424" s="38">
        <v>8.77</v>
      </c>
    </row>
    <row r="425" spans="1:14" x14ac:dyDescent="0.3">
      <c r="A425" s="33">
        <v>45600</v>
      </c>
      <c r="B425" s="34" t="s">
        <v>60</v>
      </c>
      <c r="C425" s="34" t="s">
        <v>75</v>
      </c>
      <c r="D425" s="34" t="s">
        <v>62</v>
      </c>
      <c r="E425" s="34" t="s">
        <v>72</v>
      </c>
      <c r="F425" s="35">
        <v>146779</v>
      </c>
      <c r="G425" s="35">
        <v>5019</v>
      </c>
      <c r="H425" s="36">
        <v>3.4200000000000001E-2</v>
      </c>
      <c r="I425" s="37">
        <v>2.2200000000000002</v>
      </c>
      <c r="J425" s="37">
        <v>11142.18</v>
      </c>
      <c r="K425" s="35">
        <v>349</v>
      </c>
      <c r="L425" s="37">
        <v>31.93</v>
      </c>
      <c r="M425" s="37">
        <v>91145.36</v>
      </c>
      <c r="N425" s="38">
        <v>8.18</v>
      </c>
    </row>
    <row r="426" spans="1:14" x14ac:dyDescent="0.3">
      <c r="A426" s="33">
        <v>45469</v>
      </c>
      <c r="B426" s="34" t="s">
        <v>60</v>
      </c>
      <c r="C426" s="34" t="s">
        <v>70</v>
      </c>
      <c r="D426" s="34" t="s">
        <v>65</v>
      </c>
      <c r="E426" s="34" t="s">
        <v>69</v>
      </c>
      <c r="F426" s="35">
        <v>133588</v>
      </c>
      <c r="G426" s="35">
        <v>6545</v>
      </c>
      <c r="H426" s="36">
        <v>4.9000000000000002E-2</v>
      </c>
      <c r="I426" s="37">
        <v>1.68</v>
      </c>
      <c r="J426" s="37">
        <v>10995.6</v>
      </c>
      <c r="K426" s="35">
        <v>241</v>
      </c>
      <c r="L426" s="37">
        <v>45.62</v>
      </c>
      <c r="M426" s="37">
        <v>34421.71</v>
      </c>
      <c r="N426" s="38">
        <v>3.13</v>
      </c>
    </row>
    <row r="427" spans="1:14" x14ac:dyDescent="0.3">
      <c r="A427" s="33">
        <v>45320</v>
      </c>
      <c r="B427" s="34" t="s">
        <v>60</v>
      </c>
      <c r="C427" s="34" t="s">
        <v>67</v>
      </c>
      <c r="D427" s="34" t="s">
        <v>62</v>
      </c>
      <c r="E427" s="34" t="s">
        <v>66</v>
      </c>
      <c r="F427" s="35">
        <v>82462</v>
      </c>
      <c r="G427" s="35">
        <v>3916</v>
      </c>
      <c r="H427" s="36">
        <v>4.7500000000000001E-2</v>
      </c>
      <c r="I427" s="37">
        <v>2.1</v>
      </c>
      <c r="J427" s="37">
        <v>8223.6</v>
      </c>
      <c r="K427" s="35">
        <v>199</v>
      </c>
      <c r="L427" s="37">
        <v>41.32</v>
      </c>
      <c r="M427" s="37">
        <v>48785.37</v>
      </c>
      <c r="N427" s="38">
        <v>5.93</v>
      </c>
    </row>
    <row r="428" spans="1:14" x14ac:dyDescent="0.3">
      <c r="A428" s="33">
        <v>45309</v>
      </c>
      <c r="B428" s="34" t="s">
        <v>60</v>
      </c>
      <c r="C428" s="34" t="s">
        <v>75</v>
      </c>
      <c r="D428" s="34" t="s">
        <v>76</v>
      </c>
      <c r="E428" s="34" t="s">
        <v>78</v>
      </c>
      <c r="F428" s="35">
        <v>55248</v>
      </c>
      <c r="G428" s="35">
        <v>1646</v>
      </c>
      <c r="H428" s="36">
        <v>2.98E-2</v>
      </c>
      <c r="I428" s="37">
        <v>2.6</v>
      </c>
      <c r="J428" s="37">
        <v>4279.6000000000004</v>
      </c>
      <c r="K428" s="35">
        <v>43</v>
      </c>
      <c r="L428" s="37">
        <v>99.53</v>
      </c>
      <c r="M428" s="37">
        <v>12311.15</v>
      </c>
      <c r="N428" s="38">
        <v>2.88</v>
      </c>
    </row>
    <row r="429" spans="1:14" x14ac:dyDescent="0.3">
      <c r="A429" s="33">
        <v>45513</v>
      </c>
      <c r="B429" s="34" t="s">
        <v>60</v>
      </c>
      <c r="C429" s="34" t="s">
        <v>75</v>
      </c>
      <c r="D429" s="34" t="s">
        <v>68</v>
      </c>
      <c r="E429" s="34" t="s">
        <v>63</v>
      </c>
      <c r="F429" s="35">
        <v>90374</v>
      </c>
      <c r="G429" s="35">
        <v>2349</v>
      </c>
      <c r="H429" s="36">
        <v>2.5999999999999999E-2</v>
      </c>
      <c r="I429" s="37">
        <v>0.97</v>
      </c>
      <c r="J429" s="37">
        <v>2278.5300000000002</v>
      </c>
      <c r="K429" s="35">
        <v>69</v>
      </c>
      <c r="L429" s="37">
        <v>33.020000000000003</v>
      </c>
      <c r="M429" s="37">
        <v>5506.03</v>
      </c>
      <c r="N429" s="38">
        <v>2.42</v>
      </c>
    </row>
    <row r="430" spans="1:14" x14ac:dyDescent="0.3">
      <c r="A430" s="33">
        <v>45357</v>
      </c>
      <c r="B430" s="34" t="s">
        <v>74</v>
      </c>
      <c r="C430" s="34" t="s">
        <v>67</v>
      </c>
      <c r="D430" s="34" t="s">
        <v>65</v>
      </c>
      <c r="E430" s="34" t="s">
        <v>69</v>
      </c>
      <c r="F430" s="35">
        <v>104976</v>
      </c>
      <c r="G430" s="35">
        <v>1238</v>
      </c>
      <c r="H430" s="36">
        <v>1.18E-2</v>
      </c>
      <c r="I430" s="37">
        <v>1.52</v>
      </c>
      <c r="J430" s="37">
        <v>1881.76</v>
      </c>
      <c r="K430" s="35">
        <v>16</v>
      </c>
      <c r="L430" s="37">
        <v>117.61</v>
      </c>
      <c r="M430" s="37">
        <v>4162.9799999999996</v>
      </c>
      <c r="N430" s="38">
        <v>2.21</v>
      </c>
    </row>
    <row r="431" spans="1:14" x14ac:dyDescent="0.3">
      <c r="A431" s="33">
        <v>45606</v>
      </c>
      <c r="B431" s="34" t="s">
        <v>60</v>
      </c>
      <c r="C431" s="34" t="s">
        <v>75</v>
      </c>
      <c r="D431" s="34" t="s">
        <v>71</v>
      </c>
      <c r="E431" s="34" t="s">
        <v>78</v>
      </c>
      <c r="F431" s="35">
        <v>124774</v>
      </c>
      <c r="G431" s="35">
        <v>3481</v>
      </c>
      <c r="H431" s="36">
        <v>2.7900000000000001E-2</v>
      </c>
      <c r="I431" s="37">
        <v>1.21</v>
      </c>
      <c r="J431" s="37">
        <v>4212.01</v>
      </c>
      <c r="K431" s="35">
        <v>113</v>
      </c>
      <c r="L431" s="37">
        <v>37.270000000000003</v>
      </c>
      <c r="M431" s="37">
        <v>4447.1899999999996</v>
      </c>
      <c r="N431" s="38">
        <v>1.06</v>
      </c>
    </row>
    <row r="432" spans="1:14" x14ac:dyDescent="0.3">
      <c r="A432" s="33">
        <v>45518</v>
      </c>
      <c r="B432" s="34" t="s">
        <v>60</v>
      </c>
      <c r="C432" s="34" t="s">
        <v>61</v>
      </c>
      <c r="D432" s="34" t="s">
        <v>71</v>
      </c>
      <c r="E432" s="34" t="s">
        <v>69</v>
      </c>
      <c r="F432" s="35">
        <v>109263</v>
      </c>
      <c r="G432" s="35">
        <v>2829</v>
      </c>
      <c r="H432" s="36">
        <v>2.5899999999999999E-2</v>
      </c>
      <c r="I432" s="37">
        <v>0.88</v>
      </c>
      <c r="J432" s="37">
        <v>2489.52</v>
      </c>
      <c r="K432" s="35">
        <v>129</v>
      </c>
      <c r="L432" s="37">
        <v>19.3</v>
      </c>
      <c r="M432" s="37">
        <v>14321.34</v>
      </c>
      <c r="N432" s="38">
        <v>5.75</v>
      </c>
    </row>
    <row r="433" spans="1:14" x14ac:dyDescent="0.3">
      <c r="A433" s="33">
        <v>45456</v>
      </c>
      <c r="B433" s="34" t="s">
        <v>60</v>
      </c>
      <c r="C433" s="34" t="s">
        <v>67</v>
      </c>
      <c r="D433" s="34" t="s">
        <v>62</v>
      </c>
      <c r="E433" s="34" t="s">
        <v>63</v>
      </c>
      <c r="F433" s="35">
        <v>105814</v>
      </c>
      <c r="G433" s="35">
        <v>6126</v>
      </c>
      <c r="H433" s="36">
        <v>5.79E-2</v>
      </c>
      <c r="I433" s="37">
        <v>2.79</v>
      </c>
      <c r="J433" s="37">
        <v>17091.54</v>
      </c>
      <c r="K433" s="35">
        <v>289</v>
      </c>
      <c r="L433" s="37">
        <v>59.14</v>
      </c>
      <c r="M433" s="37">
        <v>45447.24</v>
      </c>
      <c r="N433" s="38">
        <v>2.66</v>
      </c>
    </row>
    <row r="434" spans="1:14" x14ac:dyDescent="0.3">
      <c r="A434" s="33">
        <v>45520</v>
      </c>
      <c r="B434" s="34" t="s">
        <v>64</v>
      </c>
      <c r="C434" s="34" t="s">
        <v>70</v>
      </c>
      <c r="D434" s="34" t="s">
        <v>68</v>
      </c>
      <c r="E434" s="34" t="s">
        <v>73</v>
      </c>
      <c r="F434" s="35">
        <v>41113</v>
      </c>
      <c r="G434" s="35">
        <v>2347</v>
      </c>
      <c r="H434" s="36">
        <v>5.7099999999999998E-2</v>
      </c>
      <c r="I434" s="37">
        <v>0.96</v>
      </c>
      <c r="J434" s="37">
        <v>2253.12</v>
      </c>
      <c r="K434" s="35">
        <v>33</v>
      </c>
      <c r="L434" s="37">
        <v>68.28</v>
      </c>
      <c r="M434" s="37">
        <v>2659.26</v>
      </c>
      <c r="N434" s="38">
        <v>1.18</v>
      </c>
    </row>
    <row r="435" spans="1:14" x14ac:dyDescent="0.3">
      <c r="A435" s="33">
        <v>45306</v>
      </c>
      <c r="B435" s="34" t="s">
        <v>60</v>
      </c>
      <c r="C435" s="34" t="s">
        <v>61</v>
      </c>
      <c r="D435" s="34" t="s">
        <v>71</v>
      </c>
      <c r="E435" s="34" t="s">
        <v>73</v>
      </c>
      <c r="F435" s="35">
        <v>43098</v>
      </c>
      <c r="G435" s="35">
        <v>1620</v>
      </c>
      <c r="H435" s="36">
        <v>3.7600000000000001E-2</v>
      </c>
      <c r="I435" s="37">
        <v>2.73</v>
      </c>
      <c r="J435" s="37">
        <v>4422.6000000000004</v>
      </c>
      <c r="K435" s="35">
        <v>39</v>
      </c>
      <c r="L435" s="37">
        <v>113.4</v>
      </c>
      <c r="M435" s="37">
        <v>7135.44</v>
      </c>
      <c r="N435" s="38">
        <v>1.61</v>
      </c>
    </row>
    <row r="436" spans="1:14" x14ac:dyDescent="0.3">
      <c r="A436" s="33">
        <v>45532</v>
      </c>
      <c r="B436" s="34" t="s">
        <v>74</v>
      </c>
      <c r="C436" s="34" t="s">
        <v>75</v>
      </c>
      <c r="D436" s="34" t="s">
        <v>76</v>
      </c>
      <c r="E436" s="34" t="s">
        <v>73</v>
      </c>
      <c r="F436" s="35">
        <v>25991</v>
      </c>
      <c r="G436" s="35">
        <v>309</v>
      </c>
      <c r="H436" s="36">
        <v>1.1900000000000001E-2</v>
      </c>
      <c r="I436" s="37">
        <v>1.52</v>
      </c>
      <c r="J436" s="37">
        <v>469.68</v>
      </c>
      <c r="K436" s="35">
        <v>14</v>
      </c>
      <c r="L436" s="37">
        <v>33.549999999999997</v>
      </c>
      <c r="M436" s="37">
        <v>2306.63</v>
      </c>
      <c r="N436" s="38">
        <v>4.91</v>
      </c>
    </row>
    <row r="437" spans="1:14" x14ac:dyDescent="0.3">
      <c r="A437" s="33">
        <v>45617</v>
      </c>
      <c r="B437" s="34" t="s">
        <v>60</v>
      </c>
      <c r="C437" s="34" t="s">
        <v>75</v>
      </c>
      <c r="D437" s="34" t="s">
        <v>65</v>
      </c>
      <c r="E437" s="34" t="s">
        <v>77</v>
      </c>
      <c r="F437" s="35">
        <v>150778</v>
      </c>
      <c r="G437" s="35">
        <v>2985</v>
      </c>
      <c r="H437" s="36">
        <v>1.9800000000000002E-2</v>
      </c>
      <c r="I437" s="37">
        <v>1.39</v>
      </c>
      <c r="J437" s="37">
        <v>4149.1499999999996</v>
      </c>
      <c r="K437" s="35">
        <v>59</v>
      </c>
      <c r="L437" s="37">
        <v>70.319999999999993</v>
      </c>
      <c r="M437" s="37">
        <v>16435.61</v>
      </c>
      <c r="N437" s="38">
        <v>3.96</v>
      </c>
    </row>
    <row r="438" spans="1:14" x14ac:dyDescent="0.3">
      <c r="A438" s="33">
        <v>45490</v>
      </c>
      <c r="B438" s="34" t="s">
        <v>60</v>
      </c>
      <c r="C438" s="34" t="s">
        <v>67</v>
      </c>
      <c r="D438" s="34" t="s">
        <v>65</v>
      </c>
      <c r="E438" s="34" t="s">
        <v>72</v>
      </c>
      <c r="F438" s="35">
        <v>113500</v>
      </c>
      <c r="G438" s="35">
        <v>7604</v>
      </c>
      <c r="H438" s="36">
        <v>6.7000000000000004E-2</v>
      </c>
      <c r="I438" s="37">
        <v>1.3</v>
      </c>
      <c r="J438" s="37">
        <v>9885.2000000000007</v>
      </c>
      <c r="K438" s="35">
        <v>340</v>
      </c>
      <c r="L438" s="37">
        <v>29.07</v>
      </c>
      <c r="M438" s="37">
        <v>21520.639999999999</v>
      </c>
      <c r="N438" s="38">
        <v>2.1800000000000002</v>
      </c>
    </row>
    <row r="439" spans="1:14" x14ac:dyDescent="0.3">
      <c r="A439" s="33">
        <v>45596</v>
      </c>
      <c r="B439" s="34" t="s">
        <v>74</v>
      </c>
      <c r="C439" s="34" t="s">
        <v>67</v>
      </c>
      <c r="D439" s="34" t="s">
        <v>65</v>
      </c>
      <c r="E439" s="34" t="s">
        <v>63</v>
      </c>
      <c r="F439" s="35">
        <v>140453</v>
      </c>
      <c r="G439" s="35">
        <v>4213</v>
      </c>
      <c r="H439" s="36">
        <v>0.03</v>
      </c>
      <c r="I439" s="37">
        <v>1.0900000000000001</v>
      </c>
      <c r="J439" s="37">
        <v>4592.17</v>
      </c>
      <c r="K439" s="35">
        <v>56</v>
      </c>
      <c r="L439" s="37">
        <v>82</v>
      </c>
      <c r="M439" s="37">
        <v>4347.7700000000004</v>
      </c>
      <c r="N439" s="38">
        <v>0.95</v>
      </c>
    </row>
    <row r="440" spans="1:14" x14ac:dyDescent="0.3">
      <c r="A440" s="33">
        <v>45403</v>
      </c>
      <c r="B440" s="34" t="s">
        <v>64</v>
      </c>
      <c r="C440" s="34" t="s">
        <v>75</v>
      </c>
      <c r="D440" s="34" t="s">
        <v>71</v>
      </c>
      <c r="E440" s="34" t="s">
        <v>72</v>
      </c>
      <c r="F440" s="35">
        <v>27936</v>
      </c>
      <c r="G440" s="35">
        <v>1402</v>
      </c>
      <c r="H440" s="36">
        <v>5.0200000000000002E-2</v>
      </c>
      <c r="I440" s="37">
        <v>1.32</v>
      </c>
      <c r="J440" s="37">
        <v>1850.64</v>
      </c>
      <c r="K440" s="35">
        <v>99</v>
      </c>
      <c r="L440" s="37">
        <v>18.690000000000001</v>
      </c>
      <c r="M440" s="37">
        <v>26865.9</v>
      </c>
      <c r="N440" s="38">
        <v>14.52</v>
      </c>
    </row>
    <row r="441" spans="1:14" x14ac:dyDescent="0.3">
      <c r="A441" s="33">
        <v>45349</v>
      </c>
      <c r="B441" s="34" t="s">
        <v>64</v>
      </c>
      <c r="C441" s="34" t="s">
        <v>75</v>
      </c>
      <c r="D441" s="34" t="s">
        <v>71</v>
      </c>
      <c r="E441" s="34" t="s">
        <v>66</v>
      </c>
      <c r="F441" s="35">
        <v>133303</v>
      </c>
      <c r="G441" s="35">
        <v>4225</v>
      </c>
      <c r="H441" s="36">
        <v>3.1699999999999999E-2</v>
      </c>
      <c r="I441" s="37">
        <v>1.53</v>
      </c>
      <c r="J441" s="37">
        <v>6464.25</v>
      </c>
      <c r="K441" s="35">
        <v>139</v>
      </c>
      <c r="L441" s="37">
        <v>46.51</v>
      </c>
      <c r="M441" s="37">
        <v>8508.68</v>
      </c>
      <c r="N441" s="38">
        <v>1.32</v>
      </c>
    </row>
    <row r="442" spans="1:14" x14ac:dyDescent="0.3">
      <c r="A442" s="33">
        <v>45414</v>
      </c>
      <c r="B442" s="34" t="s">
        <v>60</v>
      </c>
      <c r="C442" s="34" t="s">
        <v>67</v>
      </c>
      <c r="D442" s="34" t="s">
        <v>65</v>
      </c>
      <c r="E442" s="34" t="s">
        <v>63</v>
      </c>
      <c r="F442" s="35">
        <v>117333</v>
      </c>
      <c r="G442" s="35">
        <v>2898</v>
      </c>
      <c r="H442" s="36">
        <v>2.47E-2</v>
      </c>
      <c r="I442" s="37">
        <v>3.93</v>
      </c>
      <c r="J442" s="37">
        <v>11389.14</v>
      </c>
      <c r="K442" s="35">
        <v>48</v>
      </c>
      <c r="L442" s="37">
        <v>237.27</v>
      </c>
      <c r="M442" s="37">
        <v>5367.73</v>
      </c>
      <c r="N442" s="38">
        <v>0.47</v>
      </c>
    </row>
    <row r="443" spans="1:14" x14ac:dyDescent="0.3">
      <c r="A443" s="33">
        <v>45549</v>
      </c>
      <c r="B443" s="34" t="s">
        <v>74</v>
      </c>
      <c r="C443" s="34" t="s">
        <v>75</v>
      </c>
      <c r="D443" s="34" t="s">
        <v>71</v>
      </c>
      <c r="E443" s="34" t="s">
        <v>69</v>
      </c>
      <c r="F443" s="35">
        <v>152680</v>
      </c>
      <c r="G443" s="35">
        <v>6214</v>
      </c>
      <c r="H443" s="36">
        <v>4.07E-2</v>
      </c>
      <c r="I443" s="37">
        <v>2.1</v>
      </c>
      <c r="J443" s="37">
        <v>13049.4</v>
      </c>
      <c r="K443" s="35">
        <v>283</v>
      </c>
      <c r="L443" s="37">
        <v>46.11</v>
      </c>
      <c r="M443" s="37">
        <v>13261.37</v>
      </c>
      <c r="N443" s="38">
        <v>1.02</v>
      </c>
    </row>
    <row r="444" spans="1:14" x14ac:dyDescent="0.3">
      <c r="A444" s="33">
        <v>45555</v>
      </c>
      <c r="B444" s="34" t="s">
        <v>60</v>
      </c>
      <c r="C444" s="34" t="s">
        <v>75</v>
      </c>
      <c r="D444" s="34" t="s">
        <v>68</v>
      </c>
      <c r="E444" s="34" t="s">
        <v>69</v>
      </c>
      <c r="F444" s="35">
        <v>168384</v>
      </c>
      <c r="G444" s="35">
        <v>4681</v>
      </c>
      <c r="H444" s="36">
        <v>2.7799999999999998E-2</v>
      </c>
      <c r="I444" s="37">
        <v>2.57</v>
      </c>
      <c r="J444" s="37">
        <v>12030.17</v>
      </c>
      <c r="K444" s="35">
        <v>267</v>
      </c>
      <c r="L444" s="37">
        <v>45.06</v>
      </c>
      <c r="M444" s="37">
        <v>58628.480000000003</v>
      </c>
      <c r="N444" s="38">
        <v>4.87</v>
      </c>
    </row>
    <row r="445" spans="1:14" x14ac:dyDescent="0.3">
      <c r="A445" s="33">
        <v>45526</v>
      </c>
      <c r="B445" s="34" t="s">
        <v>60</v>
      </c>
      <c r="C445" s="34" t="s">
        <v>75</v>
      </c>
      <c r="D445" s="34" t="s">
        <v>62</v>
      </c>
      <c r="E445" s="34" t="s">
        <v>78</v>
      </c>
      <c r="F445" s="35">
        <v>106026</v>
      </c>
      <c r="G445" s="35">
        <v>5152</v>
      </c>
      <c r="H445" s="36">
        <v>4.8599999999999997E-2</v>
      </c>
      <c r="I445" s="37">
        <v>1.72</v>
      </c>
      <c r="J445" s="37">
        <v>8861.44</v>
      </c>
      <c r="K445" s="35">
        <v>240</v>
      </c>
      <c r="L445" s="37">
        <v>36.92</v>
      </c>
      <c r="M445" s="37">
        <v>50663.13</v>
      </c>
      <c r="N445" s="38">
        <v>5.72</v>
      </c>
    </row>
    <row r="446" spans="1:14" x14ac:dyDescent="0.3">
      <c r="A446" s="33">
        <v>45404</v>
      </c>
      <c r="B446" s="34" t="s">
        <v>60</v>
      </c>
      <c r="C446" s="34" t="s">
        <v>61</v>
      </c>
      <c r="D446" s="34" t="s">
        <v>76</v>
      </c>
      <c r="E446" s="34" t="s">
        <v>72</v>
      </c>
      <c r="F446" s="35">
        <v>107364</v>
      </c>
      <c r="G446" s="35">
        <v>4895</v>
      </c>
      <c r="H446" s="36">
        <v>4.5600000000000002E-2</v>
      </c>
      <c r="I446" s="37">
        <v>2.65</v>
      </c>
      <c r="J446" s="37">
        <v>12971.75</v>
      </c>
      <c r="K446" s="35">
        <v>200</v>
      </c>
      <c r="L446" s="37">
        <v>64.86</v>
      </c>
      <c r="M446" s="37">
        <v>42108.23</v>
      </c>
      <c r="N446" s="38">
        <v>3.25</v>
      </c>
    </row>
    <row r="447" spans="1:14" x14ac:dyDescent="0.3">
      <c r="A447" s="33">
        <v>45468</v>
      </c>
      <c r="B447" s="34" t="s">
        <v>60</v>
      </c>
      <c r="C447" s="34" t="s">
        <v>67</v>
      </c>
      <c r="D447" s="34" t="s">
        <v>65</v>
      </c>
      <c r="E447" s="34" t="s">
        <v>66</v>
      </c>
      <c r="F447" s="35">
        <v>132152</v>
      </c>
      <c r="G447" s="35">
        <v>7572</v>
      </c>
      <c r="H447" s="36">
        <v>5.7299999999999997E-2</v>
      </c>
      <c r="I447" s="37">
        <v>1.1399999999999999</v>
      </c>
      <c r="J447" s="37">
        <v>8632.08</v>
      </c>
      <c r="K447" s="35">
        <v>552</v>
      </c>
      <c r="L447" s="37">
        <v>15.64</v>
      </c>
      <c r="M447" s="37">
        <v>115644.47</v>
      </c>
      <c r="N447" s="38">
        <v>13.4</v>
      </c>
    </row>
    <row r="448" spans="1:14" x14ac:dyDescent="0.3">
      <c r="A448" s="33">
        <v>45487</v>
      </c>
      <c r="B448" s="34" t="s">
        <v>60</v>
      </c>
      <c r="C448" s="34" t="s">
        <v>70</v>
      </c>
      <c r="D448" s="34" t="s">
        <v>62</v>
      </c>
      <c r="E448" s="34" t="s">
        <v>78</v>
      </c>
      <c r="F448" s="35">
        <v>116695</v>
      </c>
      <c r="G448" s="35">
        <v>5799</v>
      </c>
      <c r="H448" s="36">
        <v>4.9700000000000001E-2</v>
      </c>
      <c r="I448" s="37">
        <v>3.13</v>
      </c>
      <c r="J448" s="37">
        <v>18150.87</v>
      </c>
      <c r="K448" s="35">
        <v>372</v>
      </c>
      <c r="L448" s="37">
        <v>48.79</v>
      </c>
      <c r="M448" s="37">
        <v>56034.95</v>
      </c>
      <c r="N448" s="38">
        <v>3.09</v>
      </c>
    </row>
    <row r="449" spans="1:14" x14ac:dyDescent="0.3">
      <c r="A449" s="33">
        <v>45624</v>
      </c>
      <c r="B449" s="34" t="s">
        <v>74</v>
      </c>
      <c r="C449" s="34" t="s">
        <v>61</v>
      </c>
      <c r="D449" s="34" t="s">
        <v>76</v>
      </c>
      <c r="E449" s="34" t="s">
        <v>66</v>
      </c>
      <c r="F449" s="35">
        <v>116030</v>
      </c>
      <c r="G449" s="35">
        <v>4177</v>
      </c>
      <c r="H449" s="36">
        <v>3.5999999999999997E-2</v>
      </c>
      <c r="I449" s="37">
        <v>0.9</v>
      </c>
      <c r="J449" s="37">
        <v>3759.3</v>
      </c>
      <c r="K449" s="35">
        <v>188</v>
      </c>
      <c r="L449" s="37">
        <v>20</v>
      </c>
      <c r="M449" s="37">
        <v>8691.11</v>
      </c>
      <c r="N449" s="38">
        <v>2.31</v>
      </c>
    </row>
    <row r="450" spans="1:14" x14ac:dyDescent="0.3">
      <c r="A450" s="33">
        <v>45515</v>
      </c>
      <c r="B450" s="34" t="s">
        <v>64</v>
      </c>
      <c r="C450" s="34" t="s">
        <v>61</v>
      </c>
      <c r="D450" s="34" t="s">
        <v>76</v>
      </c>
      <c r="E450" s="34" t="s">
        <v>78</v>
      </c>
      <c r="F450" s="35">
        <v>164599</v>
      </c>
      <c r="G450" s="35">
        <v>11209</v>
      </c>
      <c r="H450" s="36">
        <v>6.8099999999999994E-2</v>
      </c>
      <c r="I450" s="37">
        <v>0.41</v>
      </c>
      <c r="J450" s="37">
        <v>4595.6899999999996</v>
      </c>
      <c r="K450" s="35">
        <v>653</v>
      </c>
      <c r="L450" s="37">
        <v>7.04</v>
      </c>
      <c r="M450" s="37">
        <v>133415.01</v>
      </c>
      <c r="N450" s="38">
        <v>29.03</v>
      </c>
    </row>
    <row r="451" spans="1:14" x14ac:dyDescent="0.3">
      <c r="A451" s="33">
        <v>45400</v>
      </c>
      <c r="B451" s="34" t="s">
        <v>64</v>
      </c>
      <c r="C451" s="34" t="s">
        <v>67</v>
      </c>
      <c r="D451" s="34" t="s">
        <v>62</v>
      </c>
      <c r="E451" s="34" t="s">
        <v>77</v>
      </c>
      <c r="F451" s="35">
        <v>188844</v>
      </c>
      <c r="G451" s="35">
        <v>12860</v>
      </c>
      <c r="H451" s="36">
        <v>6.8099999999999994E-2</v>
      </c>
      <c r="I451" s="37">
        <v>0.98</v>
      </c>
      <c r="J451" s="37">
        <v>12602.8</v>
      </c>
      <c r="K451" s="35">
        <v>892</v>
      </c>
      <c r="L451" s="37">
        <v>14.13</v>
      </c>
      <c r="M451" s="37">
        <v>133607.64000000001</v>
      </c>
      <c r="N451" s="38">
        <v>10.6</v>
      </c>
    </row>
    <row r="452" spans="1:14" x14ac:dyDescent="0.3">
      <c r="A452" s="33">
        <v>45545</v>
      </c>
      <c r="B452" s="34" t="s">
        <v>64</v>
      </c>
      <c r="C452" s="34" t="s">
        <v>61</v>
      </c>
      <c r="D452" s="34" t="s">
        <v>76</v>
      </c>
      <c r="E452" s="34" t="s">
        <v>73</v>
      </c>
      <c r="F452" s="35">
        <v>90468</v>
      </c>
      <c r="G452" s="35">
        <v>5753</v>
      </c>
      <c r="H452" s="36">
        <v>6.3600000000000004E-2</v>
      </c>
      <c r="I452" s="37">
        <v>0.8</v>
      </c>
      <c r="J452" s="37">
        <v>4602.3999999999996</v>
      </c>
      <c r="K452" s="35">
        <v>141</v>
      </c>
      <c r="L452" s="37">
        <v>32.64</v>
      </c>
      <c r="M452" s="37">
        <v>12042.73</v>
      </c>
      <c r="N452" s="38">
        <v>2.62</v>
      </c>
    </row>
    <row r="453" spans="1:14" x14ac:dyDescent="0.3">
      <c r="A453" s="33">
        <v>45467</v>
      </c>
      <c r="B453" s="34" t="s">
        <v>60</v>
      </c>
      <c r="C453" s="34" t="s">
        <v>67</v>
      </c>
      <c r="D453" s="34" t="s">
        <v>76</v>
      </c>
      <c r="E453" s="34" t="s">
        <v>78</v>
      </c>
      <c r="F453" s="35">
        <v>117223</v>
      </c>
      <c r="G453" s="35">
        <v>7935</v>
      </c>
      <c r="H453" s="36">
        <v>6.7699999999999996E-2</v>
      </c>
      <c r="I453" s="37">
        <v>2.02</v>
      </c>
      <c r="J453" s="37">
        <v>16028.7</v>
      </c>
      <c r="K453" s="35">
        <v>166</v>
      </c>
      <c r="L453" s="37">
        <v>96.56</v>
      </c>
      <c r="M453" s="37">
        <v>47449.87</v>
      </c>
      <c r="N453" s="38">
        <v>2.96</v>
      </c>
    </row>
    <row r="454" spans="1:14" x14ac:dyDescent="0.3">
      <c r="A454" s="33">
        <v>45377</v>
      </c>
      <c r="B454" s="34" t="s">
        <v>64</v>
      </c>
      <c r="C454" s="34" t="s">
        <v>70</v>
      </c>
      <c r="D454" s="34" t="s">
        <v>71</v>
      </c>
      <c r="E454" s="34" t="s">
        <v>72</v>
      </c>
      <c r="F454" s="35">
        <v>93478</v>
      </c>
      <c r="G454" s="35">
        <v>5786</v>
      </c>
      <c r="H454" s="36">
        <v>6.1899999999999997E-2</v>
      </c>
      <c r="I454" s="37">
        <v>0.42</v>
      </c>
      <c r="J454" s="37">
        <v>2430.12</v>
      </c>
      <c r="K454" s="35">
        <v>272</v>
      </c>
      <c r="L454" s="37">
        <v>8.93</v>
      </c>
      <c r="M454" s="37">
        <v>27905.19</v>
      </c>
      <c r="N454" s="38">
        <v>11.48</v>
      </c>
    </row>
    <row r="455" spans="1:14" x14ac:dyDescent="0.3">
      <c r="A455" s="33">
        <v>45625</v>
      </c>
      <c r="B455" s="34" t="s">
        <v>60</v>
      </c>
      <c r="C455" s="34" t="s">
        <v>67</v>
      </c>
      <c r="D455" s="34" t="s">
        <v>65</v>
      </c>
      <c r="E455" s="34" t="s">
        <v>73</v>
      </c>
      <c r="F455" s="35">
        <v>9134</v>
      </c>
      <c r="G455" s="35">
        <v>228</v>
      </c>
      <c r="H455" s="36">
        <v>2.5000000000000001E-2</v>
      </c>
      <c r="I455" s="37">
        <v>1.39</v>
      </c>
      <c r="J455" s="37">
        <v>316.92</v>
      </c>
      <c r="K455" s="35">
        <v>2</v>
      </c>
      <c r="L455" s="37">
        <v>158.46</v>
      </c>
      <c r="M455" s="37">
        <v>329.55</v>
      </c>
      <c r="N455" s="38">
        <v>1.04</v>
      </c>
    </row>
    <row r="456" spans="1:14" x14ac:dyDescent="0.3">
      <c r="A456" s="33">
        <v>45422</v>
      </c>
      <c r="B456" s="34" t="s">
        <v>74</v>
      </c>
      <c r="C456" s="34" t="s">
        <v>75</v>
      </c>
      <c r="D456" s="34" t="s">
        <v>76</v>
      </c>
      <c r="E456" s="34" t="s">
        <v>63</v>
      </c>
      <c r="F456" s="35">
        <v>29485</v>
      </c>
      <c r="G456" s="35">
        <v>1341</v>
      </c>
      <c r="H456" s="36">
        <v>4.5499999999999999E-2</v>
      </c>
      <c r="I456" s="37">
        <v>1.41</v>
      </c>
      <c r="J456" s="37">
        <v>1890.81</v>
      </c>
      <c r="K456" s="35">
        <v>46</v>
      </c>
      <c r="L456" s="37">
        <v>41.1</v>
      </c>
      <c r="M456" s="37">
        <v>4626.55</v>
      </c>
      <c r="N456" s="38">
        <v>2.4500000000000002</v>
      </c>
    </row>
    <row r="457" spans="1:14" x14ac:dyDescent="0.3">
      <c r="A457" s="33">
        <v>45649</v>
      </c>
      <c r="B457" s="34" t="s">
        <v>64</v>
      </c>
      <c r="C457" s="34" t="s">
        <v>67</v>
      </c>
      <c r="D457" s="34" t="s">
        <v>71</v>
      </c>
      <c r="E457" s="34" t="s">
        <v>73</v>
      </c>
      <c r="F457" s="35">
        <v>22221</v>
      </c>
      <c r="G457" s="35">
        <v>1706</v>
      </c>
      <c r="H457" s="36">
        <v>7.6799999999999993E-2</v>
      </c>
      <c r="I457" s="37">
        <v>0.5</v>
      </c>
      <c r="J457" s="37">
        <v>853</v>
      </c>
      <c r="K457" s="35">
        <v>74</v>
      </c>
      <c r="L457" s="37">
        <v>11.53</v>
      </c>
      <c r="M457" s="37">
        <v>14659.06</v>
      </c>
      <c r="N457" s="38">
        <v>17.190000000000001</v>
      </c>
    </row>
    <row r="458" spans="1:14" x14ac:dyDescent="0.3">
      <c r="A458" s="33">
        <v>45462</v>
      </c>
      <c r="B458" s="34" t="s">
        <v>60</v>
      </c>
      <c r="C458" s="34" t="s">
        <v>75</v>
      </c>
      <c r="D458" s="34" t="s">
        <v>71</v>
      </c>
      <c r="E458" s="34" t="s">
        <v>72</v>
      </c>
      <c r="F458" s="35">
        <v>178567</v>
      </c>
      <c r="G458" s="35">
        <v>8374</v>
      </c>
      <c r="H458" s="36">
        <v>4.6899999999999997E-2</v>
      </c>
      <c r="I458" s="37">
        <v>1.33</v>
      </c>
      <c r="J458" s="37">
        <v>11137.42</v>
      </c>
      <c r="K458" s="35">
        <v>98</v>
      </c>
      <c r="L458" s="37">
        <v>113.65</v>
      </c>
      <c r="M458" s="37">
        <v>8808.2900000000009</v>
      </c>
      <c r="N458" s="38">
        <v>0.79</v>
      </c>
    </row>
    <row r="459" spans="1:14" x14ac:dyDescent="0.3">
      <c r="A459" s="33">
        <v>45571</v>
      </c>
      <c r="B459" s="34" t="s">
        <v>64</v>
      </c>
      <c r="C459" s="34" t="s">
        <v>75</v>
      </c>
      <c r="D459" s="34" t="s">
        <v>76</v>
      </c>
      <c r="E459" s="34" t="s">
        <v>78</v>
      </c>
      <c r="F459" s="35">
        <v>93074</v>
      </c>
      <c r="G459" s="35">
        <v>4225</v>
      </c>
      <c r="H459" s="36">
        <v>4.5400000000000003E-2</v>
      </c>
      <c r="I459" s="37">
        <v>1.54</v>
      </c>
      <c r="J459" s="37">
        <v>6506.5</v>
      </c>
      <c r="K459" s="35">
        <v>300</v>
      </c>
      <c r="L459" s="37">
        <v>21.69</v>
      </c>
      <c r="M459" s="37">
        <v>11467.08</v>
      </c>
      <c r="N459" s="38">
        <v>1.76</v>
      </c>
    </row>
    <row r="460" spans="1:14" x14ac:dyDescent="0.3">
      <c r="A460" s="33">
        <v>45650</v>
      </c>
      <c r="B460" s="34" t="s">
        <v>60</v>
      </c>
      <c r="C460" s="34" t="s">
        <v>61</v>
      </c>
      <c r="D460" s="34" t="s">
        <v>68</v>
      </c>
      <c r="E460" s="34" t="s">
        <v>78</v>
      </c>
      <c r="F460" s="35">
        <v>155840</v>
      </c>
      <c r="G460" s="35">
        <v>4566</v>
      </c>
      <c r="H460" s="36">
        <v>2.93E-2</v>
      </c>
      <c r="I460" s="37">
        <v>1.1200000000000001</v>
      </c>
      <c r="J460" s="37">
        <v>5113.92</v>
      </c>
      <c r="K460" s="35">
        <v>312</v>
      </c>
      <c r="L460" s="37">
        <v>16.39</v>
      </c>
      <c r="M460" s="37">
        <v>40138.5</v>
      </c>
      <c r="N460" s="38">
        <v>7.85</v>
      </c>
    </row>
    <row r="461" spans="1:14" x14ac:dyDescent="0.3">
      <c r="A461" s="33">
        <v>45494</v>
      </c>
      <c r="B461" s="34" t="s">
        <v>64</v>
      </c>
      <c r="C461" s="34" t="s">
        <v>75</v>
      </c>
      <c r="D461" s="34" t="s">
        <v>76</v>
      </c>
      <c r="E461" s="34" t="s">
        <v>77</v>
      </c>
      <c r="F461" s="35">
        <v>21956</v>
      </c>
      <c r="G461" s="35">
        <v>1611</v>
      </c>
      <c r="H461" s="36">
        <v>7.3400000000000007E-2</v>
      </c>
      <c r="I461" s="37">
        <v>1.41</v>
      </c>
      <c r="J461" s="37">
        <v>2271.5100000000002</v>
      </c>
      <c r="K461" s="35">
        <v>79</v>
      </c>
      <c r="L461" s="37">
        <v>28.75</v>
      </c>
      <c r="M461" s="37">
        <v>9545.2800000000007</v>
      </c>
      <c r="N461" s="38">
        <v>4.2</v>
      </c>
    </row>
    <row r="462" spans="1:14" x14ac:dyDescent="0.3">
      <c r="A462" s="33">
        <v>45418</v>
      </c>
      <c r="B462" s="34" t="s">
        <v>74</v>
      </c>
      <c r="C462" s="34" t="s">
        <v>61</v>
      </c>
      <c r="D462" s="34" t="s">
        <v>76</v>
      </c>
      <c r="E462" s="34" t="s">
        <v>69</v>
      </c>
      <c r="F462" s="35">
        <v>177224</v>
      </c>
      <c r="G462" s="35">
        <v>2374</v>
      </c>
      <c r="H462" s="36">
        <v>1.34E-2</v>
      </c>
      <c r="I462" s="37">
        <v>1.57</v>
      </c>
      <c r="J462" s="37">
        <v>3727.18</v>
      </c>
      <c r="K462" s="35">
        <v>142</v>
      </c>
      <c r="L462" s="37">
        <v>26.25</v>
      </c>
      <c r="M462" s="37">
        <v>18303.419999999998</v>
      </c>
      <c r="N462" s="38">
        <v>4.91</v>
      </c>
    </row>
    <row r="463" spans="1:14" x14ac:dyDescent="0.3">
      <c r="A463" s="33">
        <v>45600</v>
      </c>
      <c r="B463" s="34" t="s">
        <v>60</v>
      </c>
      <c r="C463" s="34" t="s">
        <v>61</v>
      </c>
      <c r="D463" s="34" t="s">
        <v>65</v>
      </c>
      <c r="E463" s="34" t="s">
        <v>63</v>
      </c>
      <c r="F463" s="35">
        <v>93720</v>
      </c>
      <c r="G463" s="35">
        <v>2661</v>
      </c>
      <c r="H463" s="36">
        <v>2.8400000000000002E-2</v>
      </c>
      <c r="I463" s="37">
        <v>1.7</v>
      </c>
      <c r="J463" s="37">
        <v>4523.7</v>
      </c>
      <c r="K463" s="35">
        <v>104</v>
      </c>
      <c r="L463" s="37">
        <v>43.5</v>
      </c>
      <c r="M463" s="37">
        <v>18904.07</v>
      </c>
      <c r="N463" s="38">
        <v>4.18</v>
      </c>
    </row>
    <row r="464" spans="1:14" x14ac:dyDescent="0.3">
      <c r="A464" s="33">
        <v>45440</v>
      </c>
      <c r="B464" s="34" t="s">
        <v>60</v>
      </c>
      <c r="C464" s="34" t="s">
        <v>75</v>
      </c>
      <c r="D464" s="34" t="s">
        <v>65</v>
      </c>
      <c r="E464" s="34" t="s">
        <v>69</v>
      </c>
      <c r="F464" s="35">
        <v>169909</v>
      </c>
      <c r="G464" s="35">
        <v>7781</v>
      </c>
      <c r="H464" s="36">
        <v>4.58E-2</v>
      </c>
      <c r="I464" s="37">
        <v>2.5</v>
      </c>
      <c r="J464" s="37">
        <v>19452.5</v>
      </c>
      <c r="K464" s="35">
        <v>124</v>
      </c>
      <c r="L464" s="37">
        <v>156.88</v>
      </c>
      <c r="M464" s="37">
        <v>26123.279999999999</v>
      </c>
      <c r="N464" s="38">
        <v>1.34</v>
      </c>
    </row>
    <row r="465" spans="1:14" x14ac:dyDescent="0.3">
      <c r="A465" s="33">
        <v>45509</v>
      </c>
      <c r="B465" s="34" t="s">
        <v>74</v>
      </c>
      <c r="C465" s="34" t="s">
        <v>67</v>
      </c>
      <c r="D465" s="34" t="s">
        <v>68</v>
      </c>
      <c r="E465" s="34" t="s">
        <v>69</v>
      </c>
      <c r="F465" s="35">
        <v>46548</v>
      </c>
      <c r="G465" s="35">
        <v>1047</v>
      </c>
      <c r="H465" s="36">
        <v>2.2499999999999999E-2</v>
      </c>
      <c r="I465" s="37">
        <v>1.55</v>
      </c>
      <c r="J465" s="37">
        <v>1622.85</v>
      </c>
      <c r="K465" s="35">
        <v>28</v>
      </c>
      <c r="L465" s="37">
        <v>57.96</v>
      </c>
      <c r="M465" s="37">
        <v>7800.92</v>
      </c>
      <c r="N465" s="38">
        <v>4.8099999999999996</v>
      </c>
    </row>
    <row r="466" spans="1:14" x14ac:dyDescent="0.3">
      <c r="A466" s="33">
        <v>45634</v>
      </c>
      <c r="B466" s="34" t="s">
        <v>74</v>
      </c>
      <c r="C466" s="34" t="s">
        <v>61</v>
      </c>
      <c r="D466" s="34" t="s">
        <v>68</v>
      </c>
      <c r="E466" s="34" t="s">
        <v>69</v>
      </c>
      <c r="F466" s="35">
        <v>6875</v>
      </c>
      <c r="G466" s="35">
        <v>158</v>
      </c>
      <c r="H466" s="36">
        <v>2.3099999999999999E-2</v>
      </c>
      <c r="I466" s="37">
        <v>1.83</v>
      </c>
      <c r="J466" s="37">
        <v>289.14</v>
      </c>
      <c r="K466" s="35">
        <v>2</v>
      </c>
      <c r="L466" s="37">
        <v>144.57</v>
      </c>
      <c r="M466" s="37">
        <v>386.94</v>
      </c>
      <c r="N466" s="38">
        <v>1.34</v>
      </c>
    </row>
    <row r="467" spans="1:14" x14ac:dyDescent="0.3">
      <c r="A467" s="33">
        <v>45652</v>
      </c>
      <c r="B467" s="34" t="s">
        <v>60</v>
      </c>
      <c r="C467" s="34" t="s">
        <v>61</v>
      </c>
      <c r="D467" s="34" t="s">
        <v>71</v>
      </c>
      <c r="E467" s="34" t="s">
        <v>77</v>
      </c>
      <c r="F467" s="35">
        <v>106975</v>
      </c>
      <c r="G467" s="35">
        <v>4300</v>
      </c>
      <c r="H467" s="36">
        <v>4.02E-2</v>
      </c>
      <c r="I467" s="37">
        <v>2.39</v>
      </c>
      <c r="J467" s="37">
        <v>10277</v>
      </c>
      <c r="K467" s="35">
        <v>335</v>
      </c>
      <c r="L467" s="37">
        <v>30.68</v>
      </c>
      <c r="M467" s="37">
        <v>35904.36</v>
      </c>
      <c r="N467" s="38">
        <v>3.49</v>
      </c>
    </row>
    <row r="468" spans="1:14" x14ac:dyDescent="0.3">
      <c r="A468" s="33">
        <v>45330</v>
      </c>
      <c r="B468" s="34" t="s">
        <v>60</v>
      </c>
      <c r="C468" s="34" t="s">
        <v>70</v>
      </c>
      <c r="D468" s="34" t="s">
        <v>71</v>
      </c>
      <c r="E468" s="34" t="s">
        <v>66</v>
      </c>
      <c r="F468" s="35">
        <v>10574</v>
      </c>
      <c r="G468" s="35">
        <v>389</v>
      </c>
      <c r="H468" s="36">
        <v>3.6799999999999999E-2</v>
      </c>
      <c r="I468" s="37">
        <v>2.59</v>
      </c>
      <c r="J468" s="37">
        <v>1007.51</v>
      </c>
      <c r="K468" s="35">
        <v>6</v>
      </c>
      <c r="L468" s="37">
        <v>167.92</v>
      </c>
      <c r="M468" s="37">
        <v>908.68</v>
      </c>
      <c r="N468" s="38">
        <v>0.9</v>
      </c>
    </row>
    <row r="469" spans="1:14" x14ac:dyDescent="0.3">
      <c r="A469" s="33">
        <v>45489</v>
      </c>
      <c r="B469" s="34" t="s">
        <v>64</v>
      </c>
      <c r="C469" s="34" t="s">
        <v>67</v>
      </c>
      <c r="D469" s="34" t="s">
        <v>62</v>
      </c>
      <c r="E469" s="34" t="s">
        <v>78</v>
      </c>
      <c r="F469" s="35">
        <v>147658</v>
      </c>
      <c r="G469" s="35">
        <v>6939</v>
      </c>
      <c r="H469" s="36">
        <v>4.7E-2</v>
      </c>
      <c r="I469" s="37">
        <v>0.86</v>
      </c>
      <c r="J469" s="37">
        <v>5967.54</v>
      </c>
      <c r="K469" s="35">
        <v>282</v>
      </c>
      <c r="L469" s="37">
        <v>21.16</v>
      </c>
      <c r="M469" s="37">
        <v>39581.75</v>
      </c>
      <c r="N469" s="38">
        <v>6.63</v>
      </c>
    </row>
    <row r="470" spans="1:14" x14ac:dyDescent="0.3">
      <c r="A470" s="33">
        <v>45445</v>
      </c>
      <c r="B470" s="34" t="s">
        <v>74</v>
      </c>
      <c r="C470" s="34" t="s">
        <v>70</v>
      </c>
      <c r="D470" s="34" t="s">
        <v>71</v>
      </c>
      <c r="E470" s="34" t="s">
        <v>73</v>
      </c>
      <c r="F470" s="35">
        <v>52013</v>
      </c>
      <c r="G470" s="35">
        <v>1565</v>
      </c>
      <c r="H470" s="36">
        <v>3.0099999999999998E-2</v>
      </c>
      <c r="I470" s="37">
        <v>1.03</v>
      </c>
      <c r="J470" s="37">
        <v>1611.95</v>
      </c>
      <c r="K470" s="35">
        <v>23</v>
      </c>
      <c r="L470" s="37">
        <v>70.08</v>
      </c>
      <c r="M470" s="37">
        <v>6481.69</v>
      </c>
      <c r="N470" s="38">
        <v>4.0199999999999996</v>
      </c>
    </row>
    <row r="471" spans="1:14" x14ac:dyDescent="0.3">
      <c r="A471" s="33">
        <v>45583</v>
      </c>
      <c r="B471" s="34" t="s">
        <v>60</v>
      </c>
      <c r="C471" s="34" t="s">
        <v>61</v>
      </c>
      <c r="D471" s="34" t="s">
        <v>76</v>
      </c>
      <c r="E471" s="34" t="s">
        <v>77</v>
      </c>
      <c r="F471" s="35">
        <v>49484</v>
      </c>
      <c r="G471" s="35">
        <v>1118</v>
      </c>
      <c r="H471" s="36">
        <v>2.2599999999999999E-2</v>
      </c>
      <c r="I471" s="37">
        <v>2.0499999999999998</v>
      </c>
      <c r="J471" s="37">
        <v>2291.9</v>
      </c>
      <c r="K471" s="35">
        <v>79</v>
      </c>
      <c r="L471" s="37">
        <v>29.01</v>
      </c>
      <c r="M471" s="37">
        <v>18417.53</v>
      </c>
      <c r="N471" s="38">
        <v>8.0399999999999991</v>
      </c>
    </row>
    <row r="472" spans="1:14" x14ac:dyDescent="0.3">
      <c r="A472" s="33">
        <v>45477</v>
      </c>
      <c r="B472" s="34" t="s">
        <v>60</v>
      </c>
      <c r="C472" s="34" t="s">
        <v>61</v>
      </c>
      <c r="D472" s="34" t="s">
        <v>68</v>
      </c>
      <c r="E472" s="34" t="s">
        <v>69</v>
      </c>
      <c r="F472" s="35">
        <v>18877</v>
      </c>
      <c r="G472" s="35">
        <v>545</v>
      </c>
      <c r="H472" s="36">
        <v>2.8899999999999999E-2</v>
      </c>
      <c r="I472" s="37">
        <v>3.2</v>
      </c>
      <c r="J472" s="37">
        <v>1744</v>
      </c>
      <c r="K472" s="35">
        <v>26</v>
      </c>
      <c r="L472" s="37">
        <v>67.08</v>
      </c>
      <c r="M472" s="37">
        <v>5981</v>
      </c>
      <c r="N472" s="38">
        <v>3.43</v>
      </c>
    </row>
    <row r="473" spans="1:14" x14ac:dyDescent="0.3">
      <c r="A473" s="33">
        <v>45397</v>
      </c>
      <c r="B473" s="34" t="s">
        <v>74</v>
      </c>
      <c r="C473" s="34" t="s">
        <v>70</v>
      </c>
      <c r="D473" s="34" t="s">
        <v>68</v>
      </c>
      <c r="E473" s="34" t="s">
        <v>66</v>
      </c>
      <c r="F473" s="35">
        <v>106505</v>
      </c>
      <c r="G473" s="35">
        <v>1022</v>
      </c>
      <c r="H473" s="36">
        <v>9.5999999999999992E-3</v>
      </c>
      <c r="I473" s="37">
        <v>1.8</v>
      </c>
      <c r="J473" s="37">
        <v>1839.6</v>
      </c>
      <c r="K473" s="35">
        <v>27</v>
      </c>
      <c r="L473" s="37">
        <v>68.13</v>
      </c>
      <c r="M473" s="37">
        <v>2467.1799999999998</v>
      </c>
      <c r="N473" s="38">
        <v>1.34</v>
      </c>
    </row>
    <row r="474" spans="1:14" x14ac:dyDescent="0.3">
      <c r="A474" s="33">
        <v>45437</v>
      </c>
      <c r="B474" s="34" t="s">
        <v>60</v>
      </c>
      <c r="C474" s="34" t="s">
        <v>61</v>
      </c>
      <c r="D474" s="34" t="s">
        <v>76</v>
      </c>
      <c r="E474" s="34" t="s">
        <v>77</v>
      </c>
      <c r="F474" s="35">
        <v>65107</v>
      </c>
      <c r="G474" s="35">
        <v>1777</v>
      </c>
      <c r="H474" s="36">
        <v>2.7300000000000001E-2</v>
      </c>
      <c r="I474" s="37">
        <v>1.63</v>
      </c>
      <c r="J474" s="37">
        <v>2896.51</v>
      </c>
      <c r="K474" s="35">
        <v>128</v>
      </c>
      <c r="L474" s="37">
        <v>22.63</v>
      </c>
      <c r="M474" s="37">
        <v>29612.560000000001</v>
      </c>
      <c r="N474" s="38">
        <v>10.220000000000001</v>
      </c>
    </row>
    <row r="475" spans="1:14" x14ac:dyDescent="0.3">
      <c r="A475" s="33">
        <v>45353</v>
      </c>
      <c r="B475" s="34" t="s">
        <v>60</v>
      </c>
      <c r="C475" s="34" t="s">
        <v>70</v>
      </c>
      <c r="D475" s="34" t="s">
        <v>71</v>
      </c>
      <c r="E475" s="34" t="s">
        <v>77</v>
      </c>
      <c r="F475" s="35">
        <v>69839</v>
      </c>
      <c r="G475" s="35">
        <v>1620</v>
      </c>
      <c r="H475" s="36">
        <v>2.3199999999999998E-2</v>
      </c>
      <c r="I475" s="37">
        <v>1.26</v>
      </c>
      <c r="J475" s="37">
        <v>2041.2</v>
      </c>
      <c r="K475" s="35">
        <v>80</v>
      </c>
      <c r="L475" s="37">
        <v>25.52</v>
      </c>
      <c r="M475" s="37">
        <v>22785.52</v>
      </c>
      <c r="N475" s="38">
        <v>11.16</v>
      </c>
    </row>
    <row r="476" spans="1:14" x14ac:dyDescent="0.3">
      <c r="A476" s="33">
        <v>45349</v>
      </c>
      <c r="B476" s="34" t="s">
        <v>60</v>
      </c>
      <c r="C476" s="34" t="s">
        <v>67</v>
      </c>
      <c r="D476" s="34" t="s">
        <v>71</v>
      </c>
      <c r="E476" s="34" t="s">
        <v>69</v>
      </c>
      <c r="F476" s="35">
        <v>104794</v>
      </c>
      <c r="G476" s="35">
        <v>5920</v>
      </c>
      <c r="H476" s="36">
        <v>5.6500000000000002E-2</v>
      </c>
      <c r="I476" s="37">
        <v>3.66</v>
      </c>
      <c r="J476" s="37">
        <v>21667.200000000001</v>
      </c>
      <c r="K476" s="35">
        <v>359</v>
      </c>
      <c r="L476" s="37">
        <v>60.35</v>
      </c>
      <c r="M476" s="37">
        <v>21837.83</v>
      </c>
      <c r="N476" s="38">
        <v>1.01</v>
      </c>
    </row>
    <row r="477" spans="1:14" x14ac:dyDescent="0.3">
      <c r="A477" s="33">
        <v>45396</v>
      </c>
      <c r="B477" s="34" t="s">
        <v>74</v>
      </c>
      <c r="C477" s="34" t="s">
        <v>67</v>
      </c>
      <c r="D477" s="34" t="s">
        <v>65</v>
      </c>
      <c r="E477" s="34" t="s">
        <v>69</v>
      </c>
      <c r="F477" s="35">
        <v>33549</v>
      </c>
      <c r="G477" s="35">
        <v>1224</v>
      </c>
      <c r="H477" s="36">
        <v>3.6499999999999998E-2</v>
      </c>
      <c r="I477" s="37">
        <v>0.76</v>
      </c>
      <c r="J477" s="37">
        <v>930.24</v>
      </c>
      <c r="K477" s="35">
        <v>89</v>
      </c>
      <c r="L477" s="37">
        <v>10.45</v>
      </c>
      <c r="M477" s="37">
        <v>26101.34</v>
      </c>
      <c r="N477" s="38">
        <v>28.06</v>
      </c>
    </row>
    <row r="478" spans="1:14" x14ac:dyDescent="0.3">
      <c r="A478" s="33">
        <v>45339</v>
      </c>
      <c r="B478" s="34" t="s">
        <v>60</v>
      </c>
      <c r="C478" s="34" t="s">
        <v>67</v>
      </c>
      <c r="D478" s="34" t="s">
        <v>71</v>
      </c>
      <c r="E478" s="34" t="s">
        <v>72</v>
      </c>
      <c r="F478" s="35">
        <v>133027</v>
      </c>
      <c r="G478" s="35">
        <v>7808</v>
      </c>
      <c r="H478" s="36">
        <v>5.8700000000000002E-2</v>
      </c>
      <c r="I478" s="37">
        <v>1.26</v>
      </c>
      <c r="J478" s="37">
        <v>9838.08</v>
      </c>
      <c r="K478" s="35">
        <v>153</v>
      </c>
      <c r="L478" s="37">
        <v>64.3</v>
      </c>
      <c r="M478" s="37">
        <v>22193.119999999999</v>
      </c>
      <c r="N478" s="38">
        <v>2.2599999999999998</v>
      </c>
    </row>
    <row r="479" spans="1:14" x14ac:dyDescent="0.3">
      <c r="A479" s="33">
        <v>45608</v>
      </c>
      <c r="B479" s="34" t="s">
        <v>74</v>
      </c>
      <c r="C479" s="34" t="s">
        <v>67</v>
      </c>
      <c r="D479" s="34" t="s">
        <v>65</v>
      </c>
      <c r="E479" s="34" t="s">
        <v>72</v>
      </c>
      <c r="F479" s="35">
        <v>27419</v>
      </c>
      <c r="G479" s="35">
        <v>1192</v>
      </c>
      <c r="H479" s="36">
        <v>4.3499999999999997E-2</v>
      </c>
      <c r="I479" s="37">
        <v>1.83</v>
      </c>
      <c r="J479" s="37">
        <v>2181.36</v>
      </c>
      <c r="K479" s="35">
        <v>38</v>
      </c>
      <c r="L479" s="37">
        <v>57.4</v>
      </c>
      <c r="M479" s="37">
        <v>5935.39</v>
      </c>
      <c r="N479" s="38">
        <v>2.72</v>
      </c>
    </row>
    <row r="480" spans="1:14" x14ac:dyDescent="0.3">
      <c r="A480" s="33">
        <v>45436</v>
      </c>
      <c r="B480" s="34" t="s">
        <v>60</v>
      </c>
      <c r="C480" s="34" t="s">
        <v>67</v>
      </c>
      <c r="D480" s="34" t="s">
        <v>68</v>
      </c>
      <c r="E480" s="34" t="s">
        <v>73</v>
      </c>
      <c r="F480" s="35">
        <v>102648</v>
      </c>
      <c r="G480" s="35">
        <v>2330</v>
      </c>
      <c r="H480" s="36">
        <v>2.2700000000000001E-2</v>
      </c>
      <c r="I480" s="37">
        <v>2.5499999999999998</v>
      </c>
      <c r="J480" s="37">
        <v>5941.5</v>
      </c>
      <c r="K480" s="35">
        <v>157</v>
      </c>
      <c r="L480" s="37">
        <v>37.840000000000003</v>
      </c>
      <c r="M480" s="37">
        <v>28653.63</v>
      </c>
      <c r="N480" s="38">
        <v>4.82</v>
      </c>
    </row>
    <row r="481" spans="1:14" x14ac:dyDescent="0.3">
      <c r="A481" s="33">
        <v>45311</v>
      </c>
      <c r="B481" s="34" t="s">
        <v>60</v>
      </c>
      <c r="C481" s="34" t="s">
        <v>75</v>
      </c>
      <c r="D481" s="34" t="s">
        <v>76</v>
      </c>
      <c r="E481" s="34" t="s">
        <v>73</v>
      </c>
      <c r="F481" s="35">
        <v>181687</v>
      </c>
      <c r="G481" s="35">
        <v>8321</v>
      </c>
      <c r="H481" s="36">
        <v>4.58E-2</v>
      </c>
      <c r="I481" s="37">
        <v>3.14</v>
      </c>
      <c r="J481" s="37">
        <v>26127.94</v>
      </c>
      <c r="K481" s="35">
        <v>651</v>
      </c>
      <c r="L481" s="37">
        <v>40.14</v>
      </c>
      <c r="M481" s="37">
        <v>189283.47</v>
      </c>
      <c r="N481" s="38">
        <v>7.24</v>
      </c>
    </row>
    <row r="482" spans="1:14" x14ac:dyDescent="0.3">
      <c r="A482" s="33">
        <v>45495</v>
      </c>
      <c r="B482" s="34" t="s">
        <v>60</v>
      </c>
      <c r="C482" s="34" t="s">
        <v>75</v>
      </c>
      <c r="D482" s="34" t="s">
        <v>71</v>
      </c>
      <c r="E482" s="34" t="s">
        <v>66</v>
      </c>
      <c r="F482" s="35">
        <v>166792</v>
      </c>
      <c r="G482" s="35">
        <v>6071</v>
      </c>
      <c r="H482" s="36">
        <v>3.6400000000000002E-2</v>
      </c>
      <c r="I482" s="37">
        <v>3.15</v>
      </c>
      <c r="J482" s="37">
        <v>19123.650000000001</v>
      </c>
      <c r="K482" s="35">
        <v>323</v>
      </c>
      <c r="L482" s="37">
        <v>59.21</v>
      </c>
      <c r="M482" s="37">
        <v>23590.83</v>
      </c>
      <c r="N482" s="38">
        <v>1.23</v>
      </c>
    </row>
    <row r="483" spans="1:14" x14ac:dyDescent="0.3">
      <c r="A483" s="33">
        <v>45469</v>
      </c>
      <c r="B483" s="34" t="s">
        <v>64</v>
      </c>
      <c r="C483" s="34" t="s">
        <v>61</v>
      </c>
      <c r="D483" s="34" t="s">
        <v>71</v>
      </c>
      <c r="E483" s="34" t="s">
        <v>69</v>
      </c>
      <c r="F483" s="35">
        <v>7889</v>
      </c>
      <c r="G483" s="35">
        <v>416</v>
      </c>
      <c r="H483" s="36">
        <v>5.28E-2</v>
      </c>
      <c r="I483" s="37">
        <v>1</v>
      </c>
      <c r="J483" s="37">
        <v>416</v>
      </c>
      <c r="K483" s="35">
        <v>16</v>
      </c>
      <c r="L483" s="37">
        <v>26</v>
      </c>
      <c r="M483" s="37">
        <v>2147.9499999999998</v>
      </c>
      <c r="N483" s="38">
        <v>5.16</v>
      </c>
    </row>
    <row r="484" spans="1:14" x14ac:dyDescent="0.3">
      <c r="A484" s="33">
        <v>45610</v>
      </c>
      <c r="B484" s="34" t="s">
        <v>74</v>
      </c>
      <c r="C484" s="34" t="s">
        <v>67</v>
      </c>
      <c r="D484" s="34" t="s">
        <v>76</v>
      </c>
      <c r="E484" s="34" t="s">
        <v>77</v>
      </c>
      <c r="F484" s="35">
        <v>129746</v>
      </c>
      <c r="G484" s="35">
        <v>4891</v>
      </c>
      <c r="H484" s="36">
        <v>3.7699999999999997E-2</v>
      </c>
      <c r="I484" s="37">
        <v>1.81</v>
      </c>
      <c r="J484" s="37">
        <v>8852.7099999999991</v>
      </c>
      <c r="K484" s="35">
        <v>117</v>
      </c>
      <c r="L484" s="37">
        <v>75.66</v>
      </c>
      <c r="M484" s="37">
        <v>26101.17</v>
      </c>
      <c r="N484" s="38">
        <v>2.95</v>
      </c>
    </row>
    <row r="485" spans="1:14" x14ac:dyDescent="0.3">
      <c r="A485" s="33">
        <v>45368</v>
      </c>
      <c r="B485" s="34" t="s">
        <v>60</v>
      </c>
      <c r="C485" s="34" t="s">
        <v>75</v>
      </c>
      <c r="D485" s="34" t="s">
        <v>76</v>
      </c>
      <c r="E485" s="34" t="s">
        <v>72</v>
      </c>
      <c r="F485" s="35">
        <v>94506</v>
      </c>
      <c r="G485" s="35">
        <v>3269</v>
      </c>
      <c r="H485" s="36">
        <v>3.4599999999999999E-2</v>
      </c>
      <c r="I485" s="37">
        <v>1.56</v>
      </c>
      <c r="J485" s="37">
        <v>5099.6400000000003</v>
      </c>
      <c r="K485" s="35">
        <v>193</v>
      </c>
      <c r="L485" s="37">
        <v>26.42</v>
      </c>
      <c r="M485" s="37">
        <v>7342.38</v>
      </c>
      <c r="N485" s="38">
        <v>1.44</v>
      </c>
    </row>
    <row r="486" spans="1:14" x14ac:dyDescent="0.3">
      <c r="A486" s="33">
        <v>45429</v>
      </c>
      <c r="B486" s="34" t="s">
        <v>60</v>
      </c>
      <c r="C486" s="34" t="s">
        <v>75</v>
      </c>
      <c r="D486" s="34" t="s">
        <v>65</v>
      </c>
      <c r="E486" s="34" t="s">
        <v>73</v>
      </c>
      <c r="F486" s="35">
        <v>12086</v>
      </c>
      <c r="G486" s="35">
        <v>594</v>
      </c>
      <c r="H486" s="36">
        <v>4.9200000000000001E-2</v>
      </c>
      <c r="I486" s="37">
        <v>2.46</v>
      </c>
      <c r="J486" s="37">
        <v>1461.24</v>
      </c>
      <c r="K486" s="35">
        <v>21</v>
      </c>
      <c r="L486" s="37">
        <v>69.58</v>
      </c>
      <c r="M486" s="37">
        <v>3418.15</v>
      </c>
      <c r="N486" s="38">
        <v>2.34</v>
      </c>
    </row>
    <row r="487" spans="1:14" x14ac:dyDescent="0.3">
      <c r="A487" s="33">
        <v>45419</v>
      </c>
      <c r="B487" s="34" t="s">
        <v>64</v>
      </c>
      <c r="C487" s="34" t="s">
        <v>75</v>
      </c>
      <c r="D487" s="34" t="s">
        <v>71</v>
      </c>
      <c r="E487" s="34" t="s">
        <v>66</v>
      </c>
      <c r="F487" s="35">
        <v>145497</v>
      </c>
      <c r="G487" s="35">
        <v>4743</v>
      </c>
      <c r="H487" s="36">
        <v>3.2599999999999997E-2</v>
      </c>
      <c r="I487" s="37">
        <v>0.35</v>
      </c>
      <c r="J487" s="37">
        <v>1660.05</v>
      </c>
      <c r="K487" s="35">
        <v>313</v>
      </c>
      <c r="L487" s="37">
        <v>5.3</v>
      </c>
      <c r="M487" s="37">
        <v>81349.350000000006</v>
      </c>
      <c r="N487" s="38">
        <v>49</v>
      </c>
    </row>
    <row r="488" spans="1:14" x14ac:dyDescent="0.3">
      <c r="A488" s="33">
        <v>45430</v>
      </c>
      <c r="B488" s="34" t="s">
        <v>74</v>
      </c>
      <c r="C488" s="34" t="s">
        <v>61</v>
      </c>
      <c r="D488" s="34" t="s">
        <v>65</v>
      </c>
      <c r="E488" s="34" t="s">
        <v>63</v>
      </c>
      <c r="F488" s="35">
        <v>14491</v>
      </c>
      <c r="G488" s="35">
        <v>259</v>
      </c>
      <c r="H488" s="36">
        <v>1.7899999999999999E-2</v>
      </c>
      <c r="I488" s="37">
        <v>1.7</v>
      </c>
      <c r="J488" s="37">
        <v>440.3</v>
      </c>
      <c r="K488" s="35">
        <v>3</v>
      </c>
      <c r="L488" s="37">
        <v>146.77000000000001</v>
      </c>
      <c r="M488" s="37">
        <v>260.32</v>
      </c>
      <c r="N488" s="38">
        <v>0.59</v>
      </c>
    </row>
    <row r="489" spans="1:14" x14ac:dyDescent="0.3">
      <c r="A489" s="33">
        <v>45364</v>
      </c>
      <c r="B489" s="34" t="s">
        <v>74</v>
      </c>
      <c r="C489" s="34" t="s">
        <v>70</v>
      </c>
      <c r="D489" s="34" t="s">
        <v>62</v>
      </c>
      <c r="E489" s="34" t="s">
        <v>63</v>
      </c>
      <c r="F489" s="35">
        <v>156043</v>
      </c>
      <c r="G489" s="35">
        <v>4478</v>
      </c>
      <c r="H489" s="36">
        <v>2.87E-2</v>
      </c>
      <c r="I489" s="37">
        <v>1.33</v>
      </c>
      <c r="J489" s="37">
        <v>5955.74</v>
      </c>
      <c r="K489" s="35">
        <v>193</v>
      </c>
      <c r="L489" s="37">
        <v>30.86</v>
      </c>
      <c r="M489" s="37">
        <v>22322.38</v>
      </c>
      <c r="N489" s="38">
        <v>3.75</v>
      </c>
    </row>
    <row r="490" spans="1:14" x14ac:dyDescent="0.3">
      <c r="A490" s="33">
        <v>45492</v>
      </c>
      <c r="B490" s="34" t="s">
        <v>64</v>
      </c>
      <c r="C490" s="34" t="s">
        <v>75</v>
      </c>
      <c r="D490" s="34" t="s">
        <v>68</v>
      </c>
      <c r="E490" s="34" t="s">
        <v>66</v>
      </c>
      <c r="F490" s="35">
        <v>115304</v>
      </c>
      <c r="G490" s="35">
        <v>3551</v>
      </c>
      <c r="H490" s="36">
        <v>3.0800000000000001E-2</v>
      </c>
      <c r="I490" s="37">
        <v>1.56</v>
      </c>
      <c r="J490" s="37">
        <v>5539.56</v>
      </c>
      <c r="K490" s="35">
        <v>232</v>
      </c>
      <c r="L490" s="37">
        <v>23.88</v>
      </c>
      <c r="M490" s="37">
        <v>22178.1</v>
      </c>
      <c r="N490" s="38">
        <v>4</v>
      </c>
    </row>
    <row r="491" spans="1:14" x14ac:dyDescent="0.3">
      <c r="A491" s="33">
        <v>45559</v>
      </c>
      <c r="B491" s="34" t="s">
        <v>64</v>
      </c>
      <c r="C491" s="34" t="s">
        <v>70</v>
      </c>
      <c r="D491" s="34" t="s">
        <v>62</v>
      </c>
      <c r="E491" s="34" t="s">
        <v>63</v>
      </c>
      <c r="F491" s="35">
        <v>132571</v>
      </c>
      <c r="G491" s="35">
        <v>9147</v>
      </c>
      <c r="H491" s="36">
        <v>6.9000000000000006E-2</v>
      </c>
      <c r="I491" s="37">
        <v>1.02</v>
      </c>
      <c r="J491" s="37">
        <v>9329.94</v>
      </c>
      <c r="K491" s="35">
        <v>502</v>
      </c>
      <c r="L491" s="37">
        <v>18.59</v>
      </c>
      <c r="M491" s="37">
        <v>55471.3</v>
      </c>
      <c r="N491" s="38">
        <v>5.95</v>
      </c>
    </row>
    <row r="492" spans="1:14" x14ac:dyDescent="0.3">
      <c r="A492" s="33">
        <v>45609</v>
      </c>
      <c r="B492" s="34" t="s">
        <v>60</v>
      </c>
      <c r="C492" s="34" t="s">
        <v>75</v>
      </c>
      <c r="D492" s="34" t="s">
        <v>76</v>
      </c>
      <c r="E492" s="34" t="s">
        <v>63</v>
      </c>
      <c r="F492" s="35">
        <v>92502</v>
      </c>
      <c r="G492" s="35">
        <v>2960</v>
      </c>
      <c r="H492" s="36">
        <v>3.2000000000000001E-2</v>
      </c>
      <c r="I492" s="37">
        <v>2.06</v>
      </c>
      <c r="J492" s="37">
        <v>6097.6</v>
      </c>
      <c r="K492" s="35">
        <v>201</v>
      </c>
      <c r="L492" s="37">
        <v>30.34</v>
      </c>
      <c r="M492" s="37">
        <v>47885.36</v>
      </c>
      <c r="N492" s="38">
        <v>7.85</v>
      </c>
    </row>
    <row r="493" spans="1:14" x14ac:dyDescent="0.3">
      <c r="A493" s="33">
        <v>45619</v>
      </c>
      <c r="B493" s="34" t="s">
        <v>60</v>
      </c>
      <c r="C493" s="34" t="s">
        <v>75</v>
      </c>
      <c r="D493" s="34" t="s">
        <v>65</v>
      </c>
      <c r="E493" s="34" t="s">
        <v>69</v>
      </c>
      <c r="F493" s="35">
        <v>133792</v>
      </c>
      <c r="G493" s="35">
        <v>6943</v>
      </c>
      <c r="H493" s="36">
        <v>5.1900000000000002E-2</v>
      </c>
      <c r="I493" s="37">
        <v>2.35</v>
      </c>
      <c r="J493" s="37">
        <v>16316.05</v>
      </c>
      <c r="K493" s="35">
        <v>186</v>
      </c>
      <c r="L493" s="37">
        <v>87.72</v>
      </c>
      <c r="M493" s="37">
        <v>17630.23</v>
      </c>
      <c r="N493" s="38">
        <v>1.08</v>
      </c>
    </row>
    <row r="494" spans="1:14" x14ac:dyDescent="0.3">
      <c r="A494" s="33">
        <v>45652</v>
      </c>
      <c r="B494" s="34" t="s">
        <v>60</v>
      </c>
      <c r="C494" s="34" t="s">
        <v>75</v>
      </c>
      <c r="D494" s="34" t="s">
        <v>65</v>
      </c>
      <c r="E494" s="34" t="s">
        <v>66</v>
      </c>
      <c r="F494" s="35">
        <v>77258</v>
      </c>
      <c r="G494" s="35">
        <v>3963</v>
      </c>
      <c r="H494" s="36">
        <v>5.1299999999999998E-2</v>
      </c>
      <c r="I494" s="37">
        <v>1.8</v>
      </c>
      <c r="J494" s="37">
        <v>7133.4</v>
      </c>
      <c r="K494" s="35">
        <v>135</v>
      </c>
      <c r="L494" s="37">
        <v>52.84</v>
      </c>
      <c r="M494" s="37">
        <v>34518.129999999997</v>
      </c>
      <c r="N494" s="38">
        <v>4.84</v>
      </c>
    </row>
    <row r="495" spans="1:14" x14ac:dyDescent="0.3">
      <c r="A495" s="33">
        <v>45422</v>
      </c>
      <c r="B495" s="34" t="s">
        <v>60</v>
      </c>
      <c r="C495" s="34" t="s">
        <v>75</v>
      </c>
      <c r="D495" s="34" t="s">
        <v>65</v>
      </c>
      <c r="E495" s="34" t="s">
        <v>63</v>
      </c>
      <c r="F495" s="35">
        <v>74672</v>
      </c>
      <c r="G495" s="35">
        <v>2665</v>
      </c>
      <c r="H495" s="36">
        <v>3.5700000000000003E-2</v>
      </c>
      <c r="I495" s="37">
        <v>1.56</v>
      </c>
      <c r="J495" s="37">
        <v>4157.3999999999996</v>
      </c>
      <c r="K495" s="35">
        <v>129</v>
      </c>
      <c r="L495" s="37">
        <v>32.229999999999997</v>
      </c>
      <c r="M495" s="37">
        <v>32318.91</v>
      </c>
      <c r="N495" s="38">
        <v>7.77</v>
      </c>
    </row>
    <row r="496" spans="1:14" x14ac:dyDescent="0.3">
      <c r="A496" s="33">
        <v>45400</v>
      </c>
      <c r="B496" s="34" t="s">
        <v>64</v>
      </c>
      <c r="C496" s="34" t="s">
        <v>61</v>
      </c>
      <c r="D496" s="34" t="s">
        <v>68</v>
      </c>
      <c r="E496" s="34" t="s">
        <v>78</v>
      </c>
      <c r="F496" s="35">
        <v>41558</v>
      </c>
      <c r="G496" s="35">
        <v>1757</v>
      </c>
      <c r="H496" s="36">
        <v>4.2299999999999997E-2</v>
      </c>
      <c r="I496" s="37">
        <v>1.21</v>
      </c>
      <c r="J496" s="37">
        <v>2125.9699999999998</v>
      </c>
      <c r="K496" s="35">
        <v>72</v>
      </c>
      <c r="L496" s="37">
        <v>29.53</v>
      </c>
      <c r="M496" s="37">
        <v>18414.150000000001</v>
      </c>
      <c r="N496" s="38">
        <v>8.66</v>
      </c>
    </row>
    <row r="497" spans="1:14" x14ac:dyDescent="0.3">
      <c r="A497" s="33">
        <v>45631</v>
      </c>
      <c r="B497" s="34" t="s">
        <v>60</v>
      </c>
      <c r="C497" s="34" t="s">
        <v>70</v>
      </c>
      <c r="D497" s="34" t="s">
        <v>68</v>
      </c>
      <c r="E497" s="34" t="s">
        <v>78</v>
      </c>
      <c r="F497" s="35">
        <v>134560</v>
      </c>
      <c r="G497" s="35">
        <v>5947</v>
      </c>
      <c r="H497" s="36">
        <v>4.4200000000000003E-2</v>
      </c>
      <c r="I497" s="37">
        <v>2.84</v>
      </c>
      <c r="J497" s="37">
        <v>16889.48</v>
      </c>
      <c r="K497" s="35">
        <v>144</v>
      </c>
      <c r="L497" s="37">
        <v>117.29</v>
      </c>
      <c r="M497" s="37">
        <v>23257.77</v>
      </c>
      <c r="N497" s="38">
        <v>1.38</v>
      </c>
    </row>
    <row r="498" spans="1:14" x14ac:dyDescent="0.3">
      <c r="A498" s="33">
        <v>45438</v>
      </c>
      <c r="B498" s="34" t="s">
        <v>64</v>
      </c>
      <c r="C498" s="34" t="s">
        <v>61</v>
      </c>
      <c r="D498" s="34" t="s">
        <v>76</v>
      </c>
      <c r="E498" s="34" t="s">
        <v>73</v>
      </c>
      <c r="F498" s="35">
        <v>143518</v>
      </c>
      <c r="G498" s="35">
        <v>10491</v>
      </c>
      <c r="H498" s="36">
        <v>7.3099999999999998E-2</v>
      </c>
      <c r="I498" s="37">
        <v>0.85</v>
      </c>
      <c r="J498" s="37">
        <v>8917.35</v>
      </c>
      <c r="K498" s="35">
        <v>313</v>
      </c>
      <c r="L498" s="37">
        <v>28.49</v>
      </c>
      <c r="M498" s="37">
        <v>46285.52</v>
      </c>
      <c r="N498" s="38">
        <v>5.19</v>
      </c>
    </row>
    <row r="499" spans="1:14" x14ac:dyDescent="0.3">
      <c r="A499" s="33">
        <v>45574</v>
      </c>
      <c r="B499" s="34" t="s">
        <v>74</v>
      </c>
      <c r="C499" s="34" t="s">
        <v>67</v>
      </c>
      <c r="D499" s="34" t="s">
        <v>62</v>
      </c>
      <c r="E499" s="34" t="s">
        <v>66</v>
      </c>
      <c r="F499" s="35">
        <v>7402</v>
      </c>
      <c r="G499" s="35">
        <v>91</v>
      </c>
      <c r="H499" s="36">
        <v>1.24E-2</v>
      </c>
      <c r="I499" s="37">
        <v>2.08</v>
      </c>
      <c r="J499" s="37">
        <v>189.28</v>
      </c>
      <c r="K499" s="35">
        <v>6</v>
      </c>
      <c r="L499" s="37">
        <v>31.55</v>
      </c>
      <c r="M499" s="37">
        <v>1105.17</v>
      </c>
      <c r="N499" s="38">
        <v>5.84</v>
      </c>
    </row>
    <row r="500" spans="1:14" x14ac:dyDescent="0.3">
      <c r="A500" s="33">
        <v>45560</v>
      </c>
      <c r="B500" s="34" t="s">
        <v>60</v>
      </c>
      <c r="C500" s="34" t="s">
        <v>70</v>
      </c>
      <c r="D500" s="34" t="s">
        <v>65</v>
      </c>
      <c r="E500" s="34" t="s">
        <v>78</v>
      </c>
      <c r="F500" s="35">
        <v>49225</v>
      </c>
      <c r="G500" s="35">
        <v>2367</v>
      </c>
      <c r="H500" s="36">
        <v>4.8099999999999997E-2</v>
      </c>
      <c r="I500" s="37">
        <v>1.84</v>
      </c>
      <c r="J500" s="37">
        <v>4355.28</v>
      </c>
      <c r="K500" s="35">
        <v>137</v>
      </c>
      <c r="L500" s="37">
        <v>31.79</v>
      </c>
      <c r="M500" s="37">
        <v>8811.5300000000007</v>
      </c>
      <c r="N500" s="38">
        <v>2.02</v>
      </c>
    </row>
    <row r="501" spans="1:14" x14ac:dyDescent="0.3">
      <c r="A501" s="33">
        <v>45501</v>
      </c>
      <c r="B501" s="34" t="s">
        <v>60</v>
      </c>
      <c r="C501" s="34" t="s">
        <v>67</v>
      </c>
      <c r="D501" s="34" t="s">
        <v>68</v>
      </c>
      <c r="E501" s="34" t="s">
        <v>77</v>
      </c>
      <c r="F501" s="35">
        <v>173678</v>
      </c>
      <c r="G501" s="35">
        <v>11428</v>
      </c>
      <c r="H501" s="36">
        <v>6.5799999999999997E-2</v>
      </c>
      <c r="I501" s="37">
        <v>2.11</v>
      </c>
      <c r="J501" s="37">
        <v>24113.08</v>
      </c>
      <c r="K501" s="35">
        <v>310</v>
      </c>
      <c r="L501" s="37">
        <v>77.78</v>
      </c>
      <c r="M501" s="37">
        <v>83080.36</v>
      </c>
      <c r="N501" s="38">
        <v>3.45</v>
      </c>
    </row>
    <row r="502" spans="1:14" x14ac:dyDescent="0.3">
      <c r="A502" s="33">
        <v>45358</v>
      </c>
      <c r="B502" s="34" t="s">
        <v>74</v>
      </c>
      <c r="C502" s="34" t="s">
        <v>75</v>
      </c>
      <c r="D502" s="34" t="s">
        <v>68</v>
      </c>
      <c r="E502" s="34" t="s">
        <v>78</v>
      </c>
      <c r="F502" s="35">
        <v>92793</v>
      </c>
      <c r="G502" s="35">
        <v>1261</v>
      </c>
      <c r="H502" s="36">
        <v>1.3599999999999999E-2</v>
      </c>
      <c r="I502" s="37">
        <v>0.37</v>
      </c>
      <c r="J502" s="37">
        <v>466.57</v>
      </c>
      <c r="K502" s="35">
        <v>80</v>
      </c>
      <c r="L502" s="37">
        <v>5.83</v>
      </c>
      <c r="M502" s="37">
        <v>13024.34</v>
      </c>
      <c r="N502" s="38">
        <v>27.92</v>
      </c>
    </row>
    <row r="503" spans="1:14" x14ac:dyDescent="0.3">
      <c r="A503" s="33">
        <v>45513</v>
      </c>
      <c r="B503" s="34" t="s">
        <v>64</v>
      </c>
      <c r="C503" s="34" t="s">
        <v>67</v>
      </c>
      <c r="D503" s="34" t="s">
        <v>71</v>
      </c>
      <c r="E503" s="34" t="s">
        <v>66</v>
      </c>
      <c r="F503" s="35">
        <v>122408</v>
      </c>
      <c r="G503" s="35">
        <v>6671</v>
      </c>
      <c r="H503" s="36">
        <v>5.45E-2</v>
      </c>
      <c r="I503" s="37">
        <v>1.17</v>
      </c>
      <c r="J503" s="37">
        <v>7805.07</v>
      </c>
      <c r="K503" s="35">
        <v>293</v>
      </c>
      <c r="L503" s="37">
        <v>26.64</v>
      </c>
      <c r="M503" s="37">
        <v>67215.820000000007</v>
      </c>
      <c r="N503" s="38">
        <v>8.61</v>
      </c>
    </row>
    <row r="504" spans="1:14" x14ac:dyDescent="0.3">
      <c r="A504" s="33">
        <v>45477</v>
      </c>
      <c r="B504" s="34" t="s">
        <v>64</v>
      </c>
      <c r="C504" s="34" t="s">
        <v>61</v>
      </c>
      <c r="D504" s="34" t="s">
        <v>76</v>
      </c>
      <c r="E504" s="34" t="s">
        <v>63</v>
      </c>
      <c r="F504" s="35">
        <v>162826</v>
      </c>
      <c r="G504" s="35">
        <v>7815</v>
      </c>
      <c r="H504" s="36">
        <v>4.8000000000000001E-2</v>
      </c>
      <c r="I504" s="37">
        <v>1.64</v>
      </c>
      <c r="J504" s="37">
        <v>12816.6</v>
      </c>
      <c r="K504" s="35">
        <v>120</v>
      </c>
      <c r="L504" s="37">
        <v>106.81</v>
      </c>
      <c r="M504" s="37">
        <v>13520.75</v>
      </c>
      <c r="N504" s="38">
        <v>1.05</v>
      </c>
    </row>
    <row r="505" spans="1:14" x14ac:dyDescent="0.3">
      <c r="A505" s="33">
        <v>45483</v>
      </c>
      <c r="B505" s="34" t="s">
        <v>74</v>
      </c>
      <c r="C505" s="34" t="s">
        <v>70</v>
      </c>
      <c r="D505" s="34" t="s">
        <v>68</v>
      </c>
      <c r="E505" s="34" t="s">
        <v>77</v>
      </c>
      <c r="F505" s="35">
        <v>134614</v>
      </c>
      <c r="G505" s="35">
        <v>3190</v>
      </c>
      <c r="H505" s="36">
        <v>2.3699999999999999E-2</v>
      </c>
      <c r="I505" s="37">
        <v>1.78</v>
      </c>
      <c r="J505" s="37">
        <v>5678.2</v>
      </c>
      <c r="K505" s="35">
        <v>188</v>
      </c>
      <c r="L505" s="37">
        <v>30.2</v>
      </c>
      <c r="M505" s="37">
        <v>41736.54</v>
      </c>
      <c r="N505" s="38">
        <v>7.35</v>
      </c>
    </row>
    <row r="506" spans="1:14" x14ac:dyDescent="0.3">
      <c r="A506" s="33">
        <v>45369</v>
      </c>
      <c r="B506" s="34" t="s">
        <v>60</v>
      </c>
      <c r="C506" s="34" t="s">
        <v>70</v>
      </c>
      <c r="D506" s="34" t="s">
        <v>62</v>
      </c>
      <c r="E506" s="34" t="s">
        <v>77</v>
      </c>
      <c r="F506" s="35">
        <v>116451</v>
      </c>
      <c r="G506" s="35">
        <v>3388</v>
      </c>
      <c r="H506" s="36">
        <v>2.9100000000000001E-2</v>
      </c>
      <c r="I506" s="37">
        <v>3.39</v>
      </c>
      <c r="J506" s="37">
        <v>11485.32</v>
      </c>
      <c r="K506" s="35">
        <v>188</v>
      </c>
      <c r="L506" s="37">
        <v>61.09</v>
      </c>
      <c r="M506" s="37">
        <v>28791.61</v>
      </c>
      <c r="N506" s="38">
        <v>2.5099999999999998</v>
      </c>
    </row>
    <row r="507" spans="1:14" x14ac:dyDescent="0.3">
      <c r="A507" s="33">
        <v>45335</v>
      </c>
      <c r="B507" s="34" t="s">
        <v>60</v>
      </c>
      <c r="C507" s="34" t="s">
        <v>61</v>
      </c>
      <c r="D507" s="34" t="s">
        <v>76</v>
      </c>
      <c r="E507" s="34" t="s">
        <v>72</v>
      </c>
      <c r="F507" s="35">
        <v>188276</v>
      </c>
      <c r="G507" s="35">
        <v>11277</v>
      </c>
      <c r="H507" s="36">
        <v>5.9900000000000002E-2</v>
      </c>
      <c r="I507" s="37">
        <v>2.48</v>
      </c>
      <c r="J507" s="37">
        <v>27966.959999999999</v>
      </c>
      <c r="K507" s="35">
        <v>554</v>
      </c>
      <c r="L507" s="37">
        <v>50.48</v>
      </c>
      <c r="M507" s="37">
        <v>89376.47</v>
      </c>
      <c r="N507" s="38">
        <v>3.2</v>
      </c>
    </row>
    <row r="508" spans="1:14" x14ac:dyDescent="0.3">
      <c r="A508" s="33">
        <v>45487</v>
      </c>
      <c r="B508" s="34" t="s">
        <v>74</v>
      </c>
      <c r="C508" s="34" t="s">
        <v>61</v>
      </c>
      <c r="D508" s="34" t="s">
        <v>62</v>
      </c>
      <c r="E508" s="34" t="s">
        <v>78</v>
      </c>
      <c r="F508" s="35">
        <v>165552</v>
      </c>
      <c r="G508" s="35">
        <v>4337</v>
      </c>
      <c r="H508" s="36">
        <v>2.6200000000000001E-2</v>
      </c>
      <c r="I508" s="37">
        <v>2.2200000000000002</v>
      </c>
      <c r="J508" s="37">
        <v>9628.14</v>
      </c>
      <c r="K508" s="35">
        <v>132</v>
      </c>
      <c r="L508" s="37">
        <v>72.94</v>
      </c>
      <c r="M508" s="37">
        <v>21448.35</v>
      </c>
      <c r="N508" s="38">
        <v>2.23</v>
      </c>
    </row>
    <row r="509" spans="1:14" x14ac:dyDescent="0.3">
      <c r="A509" s="33">
        <v>45522</v>
      </c>
      <c r="B509" s="34" t="s">
        <v>74</v>
      </c>
      <c r="C509" s="34" t="s">
        <v>67</v>
      </c>
      <c r="D509" s="34" t="s">
        <v>65</v>
      </c>
      <c r="E509" s="34" t="s">
        <v>66</v>
      </c>
      <c r="F509" s="35">
        <v>82271</v>
      </c>
      <c r="G509" s="35">
        <v>3397</v>
      </c>
      <c r="H509" s="36">
        <v>4.1300000000000003E-2</v>
      </c>
      <c r="I509" s="37">
        <v>0.52</v>
      </c>
      <c r="J509" s="37">
        <v>1766.44</v>
      </c>
      <c r="K509" s="35">
        <v>36</v>
      </c>
      <c r="L509" s="37">
        <v>49.07</v>
      </c>
      <c r="M509" s="37">
        <v>6412.73</v>
      </c>
      <c r="N509" s="38">
        <v>3.63</v>
      </c>
    </row>
    <row r="510" spans="1:14" x14ac:dyDescent="0.3">
      <c r="A510" s="33">
        <v>45656</v>
      </c>
      <c r="B510" s="34" t="s">
        <v>64</v>
      </c>
      <c r="C510" s="34" t="s">
        <v>61</v>
      </c>
      <c r="D510" s="34" t="s">
        <v>62</v>
      </c>
      <c r="E510" s="34" t="s">
        <v>72</v>
      </c>
      <c r="F510" s="35">
        <v>61921</v>
      </c>
      <c r="G510" s="35">
        <v>3814</v>
      </c>
      <c r="H510" s="36">
        <v>6.1600000000000002E-2</v>
      </c>
      <c r="I510" s="37">
        <v>0.31</v>
      </c>
      <c r="J510" s="37">
        <v>1182.3399999999999</v>
      </c>
      <c r="K510" s="35">
        <v>50</v>
      </c>
      <c r="L510" s="37">
        <v>23.65</v>
      </c>
      <c r="M510" s="37">
        <v>8842.35</v>
      </c>
      <c r="N510" s="38">
        <v>7.48</v>
      </c>
    </row>
    <row r="511" spans="1:14" x14ac:dyDescent="0.3">
      <c r="A511" s="33">
        <v>45561</v>
      </c>
      <c r="B511" s="34" t="s">
        <v>60</v>
      </c>
      <c r="C511" s="34" t="s">
        <v>70</v>
      </c>
      <c r="D511" s="34" t="s">
        <v>76</v>
      </c>
      <c r="E511" s="34" t="s">
        <v>73</v>
      </c>
      <c r="F511" s="35">
        <v>161089</v>
      </c>
      <c r="G511" s="35">
        <v>6540</v>
      </c>
      <c r="H511" s="36">
        <v>4.0599999999999997E-2</v>
      </c>
      <c r="I511" s="37">
        <v>2.1</v>
      </c>
      <c r="J511" s="37">
        <v>13734</v>
      </c>
      <c r="K511" s="35">
        <v>285</v>
      </c>
      <c r="L511" s="37">
        <v>48.19</v>
      </c>
      <c r="M511" s="37">
        <v>49746.79</v>
      </c>
      <c r="N511" s="38">
        <v>3.62</v>
      </c>
    </row>
    <row r="512" spans="1:14" x14ac:dyDescent="0.3">
      <c r="A512" s="33">
        <v>45548</v>
      </c>
      <c r="B512" s="34" t="s">
        <v>60</v>
      </c>
      <c r="C512" s="34" t="s">
        <v>70</v>
      </c>
      <c r="D512" s="34" t="s">
        <v>68</v>
      </c>
      <c r="E512" s="34" t="s">
        <v>69</v>
      </c>
      <c r="F512" s="35">
        <v>85618</v>
      </c>
      <c r="G512" s="35">
        <v>2679</v>
      </c>
      <c r="H512" s="36">
        <v>3.1300000000000001E-2</v>
      </c>
      <c r="I512" s="37">
        <v>0.92</v>
      </c>
      <c r="J512" s="37">
        <v>2464.6799999999998</v>
      </c>
      <c r="K512" s="35">
        <v>74</v>
      </c>
      <c r="L512" s="37">
        <v>33.31</v>
      </c>
      <c r="M512" s="37">
        <v>6024.46</v>
      </c>
      <c r="N512" s="38">
        <v>2.44</v>
      </c>
    </row>
    <row r="513" spans="1:14" x14ac:dyDescent="0.3">
      <c r="A513" s="33">
        <v>45638</v>
      </c>
      <c r="B513" s="34" t="s">
        <v>74</v>
      </c>
      <c r="C513" s="34" t="s">
        <v>61</v>
      </c>
      <c r="D513" s="34" t="s">
        <v>68</v>
      </c>
      <c r="E513" s="34" t="s">
        <v>78</v>
      </c>
      <c r="F513" s="35">
        <v>30457</v>
      </c>
      <c r="G513" s="35">
        <v>606</v>
      </c>
      <c r="H513" s="36">
        <v>1.9900000000000001E-2</v>
      </c>
      <c r="I513" s="37">
        <v>0.57999999999999996</v>
      </c>
      <c r="J513" s="37">
        <v>351.48</v>
      </c>
      <c r="K513" s="35">
        <v>34</v>
      </c>
      <c r="L513" s="37">
        <v>10.34</v>
      </c>
      <c r="M513" s="37">
        <v>4981.9399999999996</v>
      </c>
      <c r="N513" s="38">
        <v>14.17</v>
      </c>
    </row>
    <row r="514" spans="1:14" x14ac:dyDescent="0.3">
      <c r="A514" s="33">
        <v>45316</v>
      </c>
      <c r="B514" s="34" t="s">
        <v>64</v>
      </c>
      <c r="C514" s="34" t="s">
        <v>61</v>
      </c>
      <c r="D514" s="34" t="s">
        <v>76</v>
      </c>
      <c r="E514" s="34" t="s">
        <v>77</v>
      </c>
      <c r="F514" s="35">
        <v>46420</v>
      </c>
      <c r="G514" s="35">
        <v>1880</v>
      </c>
      <c r="H514" s="36">
        <v>4.0500000000000001E-2</v>
      </c>
      <c r="I514" s="37">
        <v>1.9</v>
      </c>
      <c r="J514" s="37">
        <v>3572</v>
      </c>
      <c r="K514" s="35">
        <v>113</v>
      </c>
      <c r="L514" s="37">
        <v>31.61</v>
      </c>
      <c r="M514" s="37">
        <v>5769.59</v>
      </c>
      <c r="N514" s="38">
        <v>1.62</v>
      </c>
    </row>
    <row r="515" spans="1:14" x14ac:dyDescent="0.3">
      <c r="A515" s="33">
        <v>45525</v>
      </c>
      <c r="B515" s="34" t="s">
        <v>60</v>
      </c>
      <c r="C515" s="34" t="s">
        <v>61</v>
      </c>
      <c r="D515" s="34" t="s">
        <v>76</v>
      </c>
      <c r="E515" s="34" t="s">
        <v>66</v>
      </c>
      <c r="F515" s="35">
        <v>180746</v>
      </c>
      <c r="G515" s="35">
        <v>5024</v>
      </c>
      <c r="H515" s="36">
        <v>2.7799999999999998E-2</v>
      </c>
      <c r="I515" s="37">
        <v>1.28</v>
      </c>
      <c r="J515" s="37">
        <v>6430.72</v>
      </c>
      <c r="K515" s="35">
        <v>64</v>
      </c>
      <c r="L515" s="37">
        <v>100.48</v>
      </c>
      <c r="M515" s="37">
        <v>17709.21</v>
      </c>
      <c r="N515" s="38">
        <v>2.75</v>
      </c>
    </row>
    <row r="516" spans="1:14" x14ac:dyDescent="0.3">
      <c r="A516" s="33">
        <v>45469</v>
      </c>
      <c r="B516" s="34" t="s">
        <v>64</v>
      </c>
      <c r="C516" s="34" t="s">
        <v>61</v>
      </c>
      <c r="D516" s="34" t="s">
        <v>71</v>
      </c>
      <c r="E516" s="34" t="s">
        <v>72</v>
      </c>
      <c r="F516" s="35">
        <v>131244</v>
      </c>
      <c r="G516" s="35">
        <v>5604</v>
      </c>
      <c r="H516" s="36">
        <v>4.2700000000000002E-2</v>
      </c>
      <c r="I516" s="37">
        <v>0.38</v>
      </c>
      <c r="J516" s="37">
        <v>2129.52</v>
      </c>
      <c r="K516" s="35">
        <v>229</v>
      </c>
      <c r="L516" s="37">
        <v>9.3000000000000007</v>
      </c>
      <c r="M516" s="37">
        <v>65541.490000000005</v>
      </c>
      <c r="N516" s="38">
        <v>30.78</v>
      </c>
    </row>
    <row r="517" spans="1:14" x14ac:dyDescent="0.3">
      <c r="A517" s="33">
        <v>45352</v>
      </c>
      <c r="B517" s="34" t="s">
        <v>60</v>
      </c>
      <c r="C517" s="34" t="s">
        <v>61</v>
      </c>
      <c r="D517" s="34" t="s">
        <v>76</v>
      </c>
      <c r="E517" s="34" t="s">
        <v>72</v>
      </c>
      <c r="F517" s="35">
        <v>86678</v>
      </c>
      <c r="G517" s="35">
        <v>2158</v>
      </c>
      <c r="H517" s="36">
        <v>2.4899999999999999E-2</v>
      </c>
      <c r="I517" s="37">
        <v>1.45</v>
      </c>
      <c r="J517" s="37">
        <v>3129.1</v>
      </c>
      <c r="K517" s="35">
        <v>163</v>
      </c>
      <c r="L517" s="37">
        <v>19.2</v>
      </c>
      <c r="M517" s="37">
        <v>27708.880000000001</v>
      </c>
      <c r="N517" s="38">
        <v>8.86</v>
      </c>
    </row>
    <row r="518" spans="1:14" x14ac:dyDescent="0.3">
      <c r="A518" s="33">
        <v>45599</v>
      </c>
      <c r="B518" s="34" t="s">
        <v>60</v>
      </c>
      <c r="C518" s="34" t="s">
        <v>75</v>
      </c>
      <c r="D518" s="34" t="s">
        <v>65</v>
      </c>
      <c r="E518" s="34" t="s">
        <v>73</v>
      </c>
      <c r="F518" s="35">
        <v>70226</v>
      </c>
      <c r="G518" s="35">
        <v>4037</v>
      </c>
      <c r="H518" s="36">
        <v>5.7500000000000002E-2</v>
      </c>
      <c r="I518" s="37">
        <v>2.16</v>
      </c>
      <c r="J518" s="37">
        <v>8719.92</v>
      </c>
      <c r="K518" s="35">
        <v>240</v>
      </c>
      <c r="L518" s="37">
        <v>36.33</v>
      </c>
      <c r="M518" s="37">
        <v>68153.47</v>
      </c>
      <c r="N518" s="38">
        <v>7.82</v>
      </c>
    </row>
    <row r="519" spans="1:14" x14ac:dyDescent="0.3">
      <c r="A519" s="33">
        <v>45627</v>
      </c>
      <c r="B519" s="34" t="s">
        <v>60</v>
      </c>
      <c r="C519" s="34" t="s">
        <v>61</v>
      </c>
      <c r="D519" s="34" t="s">
        <v>62</v>
      </c>
      <c r="E519" s="34" t="s">
        <v>72</v>
      </c>
      <c r="F519" s="35">
        <v>124119</v>
      </c>
      <c r="G519" s="35">
        <v>6416</v>
      </c>
      <c r="H519" s="36">
        <v>5.1700000000000003E-2</v>
      </c>
      <c r="I519" s="37">
        <v>2.5499999999999998</v>
      </c>
      <c r="J519" s="37">
        <v>16360.8</v>
      </c>
      <c r="K519" s="35">
        <v>358</v>
      </c>
      <c r="L519" s="37">
        <v>45.7</v>
      </c>
      <c r="M519" s="37">
        <v>48445.72</v>
      </c>
      <c r="N519" s="38">
        <v>2.96</v>
      </c>
    </row>
    <row r="520" spans="1:14" x14ac:dyDescent="0.3">
      <c r="A520" s="33">
        <v>45428</v>
      </c>
      <c r="B520" s="34" t="s">
        <v>60</v>
      </c>
      <c r="C520" s="34" t="s">
        <v>70</v>
      </c>
      <c r="D520" s="34" t="s">
        <v>68</v>
      </c>
      <c r="E520" s="34" t="s">
        <v>63</v>
      </c>
      <c r="F520" s="35">
        <v>126292</v>
      </c>
      <c r="G520" s="35">
        <v>5165</v>
      </c>
      <c r="H520" s="36">
        <v>4.0899999999999999E-2</v>
      </c>
      <c r="I520" s="37">
        <v>1.49</v>
      </c>
      <c r="J520" s="37">
        <v>7695.85</v>
      </c>
      <c r="K520" s="35">
        <v>110</v>
      </c>
      <c r="L520" s="37">
        <v>69.959999999999994</v>
      </c>
      <c r="M520" s="37">
        <v>14074.18</v>
      </c>
      <c r="N520" s="38">
        <v>1.83</v>
      </c>
    </row>
    <row r="521" spans="1:14" x14ac:dyDescent="0.3">
      <c r="A521" s="33">
        <v>45345</v>
      </c>
      <c r="B521" s="34" t="s">
        <v>60</v>
      </c>
      <c r="C521" s="34" t="s">
        <v>67</v>
      </c>
      <c r="D521" s="34" t="s">
        <v>76</v>
      </c>
      <c r="E521" s="34" t="s">
        <v>73</v>
      </c>
      <c r="F521" s="35">
        <v>189935</v>
      </c>
      <c r="G521" s="35">
        <v>10161</v>
      </c>
      <c r="H521" s="36">
        <v>5.3499999999999999E-2</v>
      </c>
      <c r="I521" s="37">
        <v>1.49</v>
      </c>
      <c r="J521" s="37">
        <v>15139.89</v>
      </c>
      <c r="K521" s="35">
        <v>615</v>
      </c>
      <c r="L521" s="37">
        <v>24.62</v>
      </c>
      <c r="M521" s="37">
        <v>31748.86</v>
      </c>
      <c r="N521" s="38">
        <v>2.1</v>
      </c>
    </row>
    <row r="522" spans="1:14" x14ac:dyDescent="0.3">
      <c r="A522" s="33">
        <v>45398</v>
      </c>
      <c r="B522" s="34" t="s">
        <v>60</v>
      </c>
      <c r="C522" s="34" t="s">
        <v>75</v>
      </c>
      <c r="D522" s="34" t="s">
        <v>65</v>
      </c>
      <c r="E522" s="34" t="s">
        <v>63</v>
      </c>
      <c r="F522" s="35">
        <v>103066</v>
      </c>
      <c r="G522" s="35">
        <v>2380</v>
      </c>
      <c r="H522" s="36">
        <v>2.3099999999999999E-2</v>
      </c>
      <c r="I522" s="37">
        <v>2.4900000000000002</v>
      </c>
      <c r="J522" s="37">
        <v>5926.2</v>
      </c>
      <c r="K522" s="35">
        <v>121</v>
      </c>
      <c r="L522" s="37">
        <v>48.98</v>
      </c>
      <c r="M522" s="37">
        <v>20395.259999999998</v>
      </c>
      <c r="N522" s="38">
        <v>3.44</v>
      </c>
    </row>
    <row r="523" spans="1:14" x14ac:dyDescent="0.3">
      <c r="A523" s="33">
        <v>45381</v>
      </c>
      <c r="B523" s="34" t="s">
        <v>74</v>
      </c>
      <c r="C523" s="34" t="s">
        <v>70</v>
      </c>
      <c r="D523" s="34" t="s">
        <v>76</v>
      </c>
      <c r="E523" s="34" t="s">
        <v>69</v>
      </c>
      <c r="F523" s="35">
        <v>11083</v>
      </c>
      <c r="G523" s="35">
        <v>193</v>
      </c>
      <c r="H523" s="36">
        <v>1.7500000000000002E-2</v>
      </c>
      <c r="I523" s="37">
        <v>0.83</v>
      </c>
      <c r="J523" s="37">
        <v>160.19</v>
      </c>
      <c r="K523" s="35">
        <v>11</v>
      </c>
      <c r="L523" s="37">
        <v>14.56</v>
      </c>
      <c r="M523" s="37">
        <v>912.82</v>
      </c>
      <c r="N523" s="38">
        <v>5.7</v>
      </c>
    </row>
    <row r="524" spans="1:14" x14ac:dyDescent="0.3">
      <c r="A524" s="33">
        <v>45407</v>
      </c>
      <c r="B524" s="34" t="s">
        <v>74</v>
      </c>
      <c r="C524" s="34" t="s">
        <v>75</v>
      </c>
      <c r="D524" s="34" t="s">
        <v>65</v>
      </c>
      <c r="E524" s="34" t="s">
        <v>63</v>
      </c>
      <c r="F524" s="35">
        <v>6074</v>
      </c>
      <c r="G524" s="35">
        <v>128</v>
      </c>
      <c r="H524" s="36">
        <v>2.12E-2</v>
      </c>
      <c r="I524" s="37">
        <v>1.51</v>
      </c>
      <c r="J524" s="37">
        <v>193.28</v>
      </c>
      <c r="K524" s="35">
        <v>5</v>
      </c>
      <c r="L524" s="37">
        <v>38.659999999999997</v>
      </c>
      <c r="M524" s="37">
        <v>1253.71</v>
      </c>
      <c r="N524" s="38">
        <v>6.49</v>
      </c>
    </row>
    <row r="525" spans="1:14" x14ac:dyDescent="0.3">
      <c r="A525" s="33">
        <v>45576</v>
      </c>
      <c r="B525" s="34" t="s">
        <v>64</v>
      </c>
      <c r="C525" s="34" t="s">
        <v>67</v>
      </c>
      <c r="D525" s="34" t="s">
        <v>68</v>
      </c>
      <c r="E525" s="34" t="s">
        <v>73</v>
      </c>
      <c r="F525" s="35">
        <v>54752</v>
      </c>
      <c r="G525" s="35">
        <v>2814</v>
      </c>
      <c r="H525" s="36">
        <v>5.1400000000000001E-2</v>
      </c>
      <c r="I525" s="37">
        <v>0.86</v>
      </c>
      <c r="J525" s="37">
        <v>2420.04</v>
      </c>
      <c r="K525" s="35">
        <v>137</v>
      </c>
      <c r="L525" s="37">
        <v>17.66</v>
      </c>
      <c r="M525" s="37">
        <v>13580.22</v>
      </c>
      <c r="N525" s="38">
        <v>5.61</v>
      </c>
    </row>
    <row r="526" spans="1:14" x14ac:dyDescent="0.3">
      <c r="A526" s="33">
        <v>45332</v>
      </c>
      <c r="B526" s="34" t="s">
        <v>74</v>
      </c>
      <c r="C526" s="34" t="s">
        <v>67</v>
      </c>
      <c r="D526" s="34" t="s">
        <v>68</v>
      </c>
      <c r="E526" s="34" t="s">
        <v>66</v>
      </c>
      <c r="F526" s="35">
        <v>141313</v>
      </c>
      <c r="G526" s="35">
        <v>4762</v>
      </c>
      <c r="H526" s="36">
        <v>3.3700000000000001E-2</v>
      </c>
      <c r="I526" s="37">
        <v>1.05</v>
      </c>
      <c r="J526" s="37">
        <v>5000.1000000000004</v>
      </c>
      <c r="K526" s="35">
        <v>207</v>
      </c>
      <c r="L526" s="37">
        <v>24.16</v>
      </c>
      <c r="M526" s="37">
        <v>26737.15</v>
      </c>
      <c r="N526" s="38">
        <v>5.35</v>
      </c>
    </row>
    <row r="527" spans="1:14" x14ac:dyDescent="0.3">
      <c r="A527" s="33">
        <v>45624</v>
      </c>
      <c r="B527" s="34" t="s">
        <v>64</v>
      </c>
      <c r="C527" s="34" t="s">
        <v>75</v>
      </c>
      <c r="D527" s="34" t="s">
        <v>65</v>
      </c>
      <c r="E527" s="34" t="s">
        <v>69</v>
      </c>
      <c r="F527" s="35">
        <v>34669</v>
      </c>
      <c r="G527" s="35">
        <v>1965</v>
      </c>
      <c r="H527" s="36">
        <v>5.67E-2</v>
      </c>
      <c r="I527" s="37">
        <v>1.61</v>
      </c>
      <c r="J527" s="37">
        <v>3163.65</v>
      </c>
      <c r="K527" s="35">
        <v>74</v>
      </c>
      <c r="L527" s="37">
        <v>42.75</v>
      </c>
      <c r="M527" s="37">
        <v>12153.4</v>
      </c>
      <c r="N527" s="38">
        <v>3.84</v>
      </c>
    </row>
    <row r="528" spans="1:14" x14ac:dyDescent="0.3">
      <c r="A528" s="33">
        <v>45368</v>
      </c>
      <c r="B528" s="34" t="s">
        <v>74</v>
      </c>
      <c r="C528" s="34" t="s">
        <v>75</v>
      </c>
      <c r="D528" s="34" t="s">
        <v>76</v>
      </c>
      <c r="E528" s="34" t="s">
        <v>78</v>
      </c>
      <c r="F528" s="35">
        <v>104714</v>
      </c>
      <c r="G528" s="35">
        <v>1015</v>
      </c>
      <c r="H528" s="36">
        <v>9.7000000000000003E-3</v>
      </c>
      <c r="I528" s="37">
        <v>0.93</v>
      </c>
      <c r="J528" s="37">
        <v>943.95</v>
      </c>
      <c r="K528" s="35">
        <v>78</v>
      </c>
      <c r="L528" s="37">
        <v>12.1</v>
      </c>
      <c r="M528" s="37">
        <v>20952.03</v>
      </c>
      <c r="N528" s="38">
        <v>22.2</v>
      </c>
    </row>
    <row r="529" spans="1:14" x14ac:dyDescent="0.3">
      <c r="A529" s="33">
        <v>45442</v>
      </c>
      <c r="B529" s="34" t="s">
        <v>64</v>
      </c>
      <c r="C529" s="34" t="s">
        <v>67</v>
      </c>
      <c r="D529" s="34" t="s">
        <v>68</v>
      </c>
      <c r="E529" s="34" t="s">
        <v>63</v>
      </c>
      <c r="F529" s="35">
        <v>109733</v>
      </c>
      <c r="G529" s="35">
        <v>6616</v>
      </c>
      <c r="H529" s="36">
        <v>6.0299999999999999E-2</v>
      </c>
      <c r="I529" s="37">
        <v>0.91</v>
      </c>
      <c r="J529" s="37">
        <v>6020.56</v>
      </c>
      <c r="K529" s="35">
        <v>516</v>
      </c>
      <c r="L529" s="37">
        <v>11.67</v>
      </c>
      <c r="M529" s="37">
        <v>53965.61</v>
      </c>
      <c r="N529" s="38">
        <v>8.9600000000000009</v>
      </c>
    </row>
    <row r="530" spans="1:14" x14ac:dyDescent="0.3">
      <c r="A530" s="33">
        <v>45551</v>
      </c>
      <c r="B530" s="34" t="s">
        <v>64</v>
      </c>
      <c r="C530" s="34" t="s">
        <v>75</v>
      </c>
      <c r="D530" s="34" t="s">
        <v>71</v>
      </c>
      <c r="E530" s="34" t="s">
        <v>69</v>
      </c>
      <c r="F530" s="35">
        <v>67502</v>
      </c>
      <c r="G530" s="35">
        <v>5859</v>
      </c>
      <c r="H530" s="36">
        <v>8.6800000000000002E-2</v>
      </c>
      <c r="I530" s="37">
        <v>0.48</v>
      </c>
      <c r="J530" s="37">
        <v>2812.32</v>
      </c>
      <c r="K530" s="35">
        <v>395</v>
      </c>
      <c r="L530" s="37">
        <v>7.12</v>
      </c>
      <c r="M530" s="37">
        <v>42271.31</v>
      </c>
      <c r="N530" s="38">
        <v>15.03</v>
      </c>
    </row>
    <row r="531" spans="1:14" x14ac:dyDescent="0.3">
      <c r="A531" s="33">
        <v>45406</v>
      </c>
      <c r="B531" s="34" t="s">
        <v>60</v>
      </c>
      <c r="C531" s="34" t="s">
        <v>75</v>
      </c>
      <c r="D531" s="34" t="s">
        <v>76</v>
      </c>
      <c r="E531" s="34" t="s">
        <v>73</v>
      </c>
      <c r="F531" s="35">
        <v>129121</v>
      </c>
      <c r="G531" s="35">
        <v>4893</v>
      </c>
      <c r="H531" s="36">
        <v>3.7900000000000003E-2</v>
      </c>
      <c r="I531" s="37">
        <v>2.56</v>
      </c>
      <c r="J531" s="37">
        <v>12526.08</v>
      </c>
      <c r="K531" s="35">
        <v>137</v>
      </c>
      <c r="L531" s="37">
        <v>91.43</v>
      </c>
      <c r="M531" s="37">
        <v>7241.16</v>
      </c>
      <c r="N531" s="38">
        <v>0.57999999999999996</v>
      </c>
    </row>
    <row r="532" spans="1:14" x14ac:dyDescent="0.3">
      <c r="A532" s="33">
        <v>45376</v>
      </c>
      <c r="B532" s="34" t="s">
        <v>60</v>
      </c>
      <c r="C532" s="34" t="s">
        <v>67</v>
      </c>
      <c r="D532" s="34" t="s">
        <v>62</v>
      </c>
      <c r="E532" s="34" t="s">
        <v>69</v>
      </c>
      <c r="F532" s="35">
        <v>173102</v>
      </c>
      <c r="G532" s="35">
        <v>4414</v>
      </c>
      <c r="H532" s="36">
        <v>2.5499999999999998E-2</v>
      </c>
      <c r="I532" s="37">
        <v>3.4</v>
      </c>
      <c r="J532" s="37">
        <v>15007.6</v>
      </c>
      <c r="K532" s="35">
        <v>341</v>
      </c>
      <c r="L532" s="37">
        <v>44.01</v>
      </c>
      <c r="M532" s="37">
        <v>52487.34</v>
      </c>
      <c r="N532" s="38">
        <v>3.5</v>
      </c>
    </row>
    <row r="533" spans="1:14" x14ac:dyDescent="0.3">
      <c r="A533" s="33">
        <v>45378</v>
      </c>
      <c r="B533" s="34" t="s">
        <v>60</v>
      </c>
      <c r="C533" s="34" t="s">
        <v>70</v>
      </c>
      <c r="D533" s="34" t="s">
        <v>65</v>
      </c>
      <c r="E533" s="34" t="s">
        <v>73</v>
      </c>
      <c r="F533" s="35">
        <v>140607</v>
      </c>
      <c r="G533" s="35">
        <v>6397</v>
      </c>
      <c r="H533" s="36">
        <v>4.5499999999999999E-2</v>
      </c>
      <c r="I533" s="37">
        <v>1.43</v>
      </c>
      <c r="J533" s="37">
        <v>9147.7099999999991</v>
      </c>
      <c r="K533" s="35">
        <v>393</v>
      </c>
      <c r="L533" s="37">
        <v>23.28</v>
      </c>
      <c r="M533" s="37">
        <v>82224.929999999993</v>
      </c>
      <c r="N533" s="38">
        <v>8.99</v>
      </c>
    </row>
    <row r="534" spans="1:14" x14ac:dyDescent="0.3">
      <c r="A534" s="33">
        <v>45302</v>
      </c>
      <c r="B534" s="34" t="s">
        <v>60</v>
      </c>
      <c r="C534" s="34" t="s">
        <v>61</v>
      </c>
      <c r="D534" s="34" t="s">
        <v>68</v>
      </c>
      <c r="E534" s="34" t="s">
        <v>72</v>
      </c>
      <c r="F534" s="35">
        <v>48351</v>
      </c>
      <c r="G534" s="35">
        <v>2156</v>
      </c>
      <c r="H534" s="36">
        <v>4.4600000000000001E-2</v>
      </c>
      <c r="I534" s="37">
        <v>3.16</v>
      </c>
      <c r="J534" s="37">
        <v>6812.96</v>
      </c>
      <c r="K534" s="35">
        <v>83</v>
      </c>
      <c r="L534" s="37">
        <v>82.08</v>
      </c>
      <c r="M534" s="37">
        <v>7504.87</v>
      </c>
      <c r="N534" s="38">
        <v>1.1000000000000001</v>
      </c>
    </row>
    <row r="535" spans="1:14" x14ac:dyDescent="0.3">
      <c r="A535" s="33">
        <v>45388</v>
      </c>
      <c r="B535" s="34" t="s">
        <v>64</v>
      </c>
      <c r="C535" s="34" t="s">
        <v>67</v>
      </c>
      <c r="D535" s="34" t="s">
        <v>62</v>
      </c>
      <c r="E535" s="34" t="s">
        <v>72</v>
      </c>
      <c r="F535" s="35">
        <v>118135</v>
      </c>
      <c r="G535" s="35">
        <v>8151</v>
      </c>
      <c r="H535" s="36">
        <v>6.9000000000000006E-2</v>
      </c>
      <c r="I535" s="37">
        <v>0.69</v>
      </c>
      <c r="J535" s="37">
        <v>5624.19</v>
      </c>
      <c r="K535" s="35">
        <v>428</v>
      </c>
      <c r="L535" s="37">
        <v>13.14</v>
      </c>
      <c r="M535" s="37">
        <v>64189.34</v>
      </c>
      <c r="N535" s="38">
        <v>11.41</v>
      </c>
    </row>
    <row r="536" spans="1:14" x14ac:dyDescent="0.3">
      <c r="A536" s="33">
        <v>45468</v>
      </c>
      <c r="B536" s="34" t="s">
        <v>64</v>
      </c>
      <c r="C536" s="34" t="s">
        <v>61</v>
      </c>
      <c r="D536" s="34" t="s">
        <v>62</v>
      </c>
      <c r="E536" s="34" t="s">
        <v>66</v>
      </c>
      <c r="F536" s="35">
        <v>20185</v>
      </c>
      <c r="G536" s="35">
        <v>878</v>
      </c>
      <c r="H536" s="36">
        <v>4.3499999999999997E-2</v>
      </c>
      <c r="I536" s="37">
        <v>0.61</v>
      </c>
      <c r="J536" s="37">
        <v>535.58000000000004</v>
      </c>
      <c r="K536" s="35">
        <v>27</v>
      </c>
      <c r="L536" s="37">
        <v>19.84</v>
      </c>
      <c r="M536" s="37">
        <v>7476.28</v>
      </c>
      <c r="N536" s="38">
        <v>13.96</v>
      </c>
    </row>
    <row r="537" spans="1:14" x14ac:dyDescent="0.3">
      <c r="A537" s="33">
        <v>45625</v>
      </c>
      <c r="B537" s="34" t="s">
        <v>64</v>
      </c>
      <c r="C537" s="34" t="s">
        <v>67</v>
      </c>
      <c r="D537" s="34" t="s">
        <v>76</v>
      </c>
      <c r="E537" s="34" t="s">
        <v>78</v>
      </c>
      <c r="F537" s="35">
        <v>50802</v>
      </c>
      <c r="G537" s="35">
        <v>3617</v>
      </c>
      <c r="H537" s="36">
        <v>7.1199999999999999E-2</v>
      </c>
      <c r="I537" s="37">
        <v>0.42</v>
      </c>
      <c r="J537" s="37">
        <v>1519.14</v>
      </c>
      <c r="K537" s="35">
        <v>279</v>
      </c>
      <c r="L537" s="37">
        <v>5.44</v>
      </c>
      <c r="M537" s="37">
        <v>22644.29</v>
      </c>
      <c r="N537" s="38">
        <v>14.91</v>
      </c>
    </row>
    <row r="538" spans="1:14" x14ac:dyDescent="0.3">
      <c r="A538" s="33">
        <v>45518</v>
      </c>
      <c r="B538" s="34" t="s">
        <v>74</v>
      </c>
      <c r="C538" s="34" t="s">
        <v>70</v>
      </c>
      <c r="D538" s="34" t="s">
        <v>76</v>
      </c>
      <c r="E538" s="34" t="s">
        <v>73</v>
      </c>
      <c r="F538" s="35">
        <v>34048</v>
      </c>
      <c r="G538" s="35">
        <v>694</v>
      </c>
      <c r="H538" s="36">
        <v>2.0400000000000001E-2</v>
      </c>
      <c r="I538" s="37">
        <v>1.45</v>
      </c>
      <c r="J538" s="37">
        <v>1006.3</v>
      </c>
      <c r="K538" s="35">
        <v>49</v>
      </c>
      <c r="L538" s="37">
        <v>20.54</v>
      </c>
      <c r="M538" s="37">
        <v>12555.06</v>
      </c>
      <c r="N538" s="38">
        <v>12.48</v>
      </c>
    </row>
    <row r="539" spans="1:14" x14ac:dyDescent="0.3">
      <c r="A539" s="33">
        <v>45345</v>
      </c>
      <c r="B539" s="34" t="s">
        <v>64</v>
      </c>
      <c r="C539" s="34" t="s">
        <v>67</v>
      </c>
      <c r="D539" s="34" t="s">
        <v>71</v>
      </c>
      <c r="E539" s="34" t="s">
        <v>63</v>
      </c>
      <c r="F539" s="35">
        <v>56672</v>
      </c>
      <c r="G539" s="35">
        <v>2397</v>
      </c>
      <c r="H539" s="36">
        <v>4.2299999999999997E-2</v>
      </c>
      <c r="I539" s="37">
        <v>0.48</v>
      </c>
      <c r="J539" s="37">
        <v>1150.56</v>
      </c>
      <c r="K539" s="35">
        <v>138</v>
      </c>
      <c r="L539" s="37">
        <v>8.34</v>
      </c>
      <c r="M539" s="37">
        <v>33165.74</v>
      </c>
      <c r="N539" s="38">
        <v>28.83</v>
      </c>
    </row>
    <row r="540" spans="1:14" x14ac:dyDescent="0.3">
      <c r="A540" s="33">
        <v>45427</v>
      </c>
      <c r="B540" s="34" t="s">
        <v>60</v>
      </c>
      <c r="C540" s="34" t="s">
        <v>67</v>
      </c>
      <c r="D540" s="34" t="s">
        <v>62</v>
      </c>
      <c r="E540" s="34" t="s">
        <v>63</v>
      </c>
      <c r="F540" s="35">
        <v>128962</v>
      </c>
      <c r="G540" s="35">
        <v>7337</v>
      </c>
      <c r="H540" s="36">
        <v>5.6899999999999999E-2</v>
      </c>
      <c r="I540" s="37">
        <v>1.35</v>
      </c>
      <c r="J540" s="37">
        <v>9904.9500000000007</v>
      </c>
      <c r="K540" s="35">
        <v>226</v>
      </c>
      <c r="L540" s="37">
        <v>43.83</v>
      </c>
      <c r="M540" s="37">
        <v>26098.81</v>
      </c>
      <c r="N540" s="38">
        <v>2.63</v>
      </c>
    </row>
    <row r="541" spans="1:14" x14ac:dyDescent="0.3">
      <c r="A541" s="33">
        <v>45557</v>
      </c>
      <c r="B541" s="34" t="s">
        <v>74</v>
      </c>
      <c r="C541" s="34" t="s">
        <v>67</v>
      </c>
      <c r="D541" s="34" t="s">
        <v>68</v>
      </c>
      <c r="E541" s="34" t="s">
        <v>66</v>
      </c>
      <c r="F541" s="35">
        <v>15532</v>
      </c>
      <c r="G541" s="35">
        <v>593</v>
      </c>
      <c r="H541" s="36">
        <v>3.8199999999999998E-2</v>
      </c>
      <c r="I541" s="37">
        <v>1.43</v>
      </c>
      <c r="J541" s="37">
        <v>847.99</v>
      </c>
      <c r="K541" s="35">
        <v>45</v>
      </c>
      <c r="L541" s="37">
        <v>18.84</v>
      </c>
      <c r="M541" s="37">
        <v>2243.79</v>
      </c>
      <c r="N541" s="38">
        <v>2.65</v>
      </c>
    </row>
    <row r="542" spans="1:14" x14ac:dyDescent="0.3">
      <c r="A542" s="33">
        <v>45519</v>
      </c>
      <c r="B542" s="34" t="s">
        <v>60</v>
      </c>
      <c r="C542" s="34" t="s">
        <v>67</v>
      </c>
      <c r="D542" s="34" t="s">
        <v>62</v>
      </c>
      <c r="E542" s="34" t="s">
        <v>78</v>
      </c>
      <c r="F542" s="35">
        <v>154666</v>
      </c>
      <c r="G542" s="35">
        <v>5939</v>
      </c>
      <c r="H542" s="36">
        <v>3.8399999999999997E-2</v>
      </c>
      <c r="I542" s="37">
        <v>1.28</v>
      </c>
      <c r="J542" s="37">
        <v>7601.92</v>
      </c>
      <c r="K542" s="35">
        <v>366</v>
      </c>
      <c r="L542" s="37">
        <v>20.77</v>
      </c>
      <c r="M542" s="37">
        <v>24965.13</v>
      </c>
      <c r="N542" s="38">
        <v>3.28</v>
      </c>
    </row>
    <row r="543" spans="1:14" x14ac:dyDescent="0.3">
      <c r="A543" s="33">
        <v>45526</v>
      </c>
      <c r="B543" s="34" t="s">
        <v>64</v>
      </c>
      <c r="C543" s="34" t="s">
        <v>67</v>
      </c>
      <c r="D543" s="34" t="s">
        <v>76</v>
      </c>
      <c r="E543" s="34" t="s">
        <v>69</v>
      </c>
      <c r="F543" s="35">
        <v>9722</v>
      </c>
      <c r="G543" s="35">
        <v>455</v>
      </c>
      <c r="H543" s="36">
        <v>4.6899999999999997E-2</v>
      </c>
      <c r="I543" s="37">
        <v>1.21</v>
      </c>
      <c r="J543" s="37">
        <v>550.54999999999995</v>
      </c>
      <c r="K543" s="35">
        <v>29</v>
      </c>
      <c r="L543" s="37">
        <v>18.98</v>
      </c>
      <c r="M543" s="37">
        <v>3533.89</v>
      </c>
      <c r="N543" s="38">
        <v>6.42</v>
      </c>
    </row>
    <row r="544" spans="1:14" x14ac:dyDescent="0.3">
      <c r="A544" s="33">
        <v>45514</v>
      </c>
      <c r="B544" s="34" t="s">
        <v>60</v>
      </c>
      <c r="C544" s="34" t="s">
        <v>75</v>
      </c>
      <c r="D544" s="34" t="s">
        <v>62</v>
      </c>
      <c r="E544" s="34" t="s">
        <v>78</v>
      </c>
      <c r="F544" s="35">
        <v>24464</v>
      </c>
      <c r="G544" s="35">
        <v>511</v>
      </c>
      <c r="H544" s="36">
        <v>2.0899999999999998E-2</v>
      </c>
      <c r="I544" s="37">
        <v>1.1200000000000001</v>
      </c>
      <c r="J544" s="37">
        <v>572.32000000000005</v>
      </c>
      <c r="K544" s="35">
        <v>20</v>
      </c>
      <c r="L544" s="37">
        <v>28.62</v>
      </c>
      <c r="M544" s="37">
        <v>5921.83</v>
      </c>
      <c r="N544" s="38">
        <v>10.35</v>
      </c>
    </row>
    <row r="545" spans="1:14" x14ac:dyDescent="0.3">
      <c r="A545" s="33">
        <v>45331</v>
      </c>
      <c r="B545" s="34" t="s">
        <v>74</v>
      </c>
      <c r="C545" s="34" t="s">
        <v>67</v>
      </c>
      <c r="D545" s="34" t="s">
        <v>76</v>
      </c>
      <c r="E545" s="34" t="s">
        <v>77</v>
      </c>
      <c r="F545" s="35">
        <v>170413</v>
      </c>
      <c r="G545" s="35">
        <v>3936</v>
      </c>
      <c r="H545" s="36">
        <v>2.3099999999999999E-2</v>
      </c>
      <c r="I545" s="37">
        <v>0.71</v>
      </c>
      <c r="J545" s="37">
        <v>2794.56</v>
      </c>
      <c r="K545" s="35">
        <v>63</v>
      </c>
      <c r="L545" s="37">
        <v>44.36</v>
      </c>
      <c r="M545" s="37">
        <v>12671.79</v>
      </c>
      <c r="N545" s="38">
        <v>4.53</v>
      </c>
    </row>
    <row r="546" spans="1:14" x14ac:dyDescent="0.3">
      <c r="A546" s="33">
        <v>45363</v>
      </c>
      <c r="B546" s="34" t="s">
        <v>64</v>
      </c>
      <c r="C546" s="34" t="s">
        <v>67</v>
      </c>
      <c r="D546" s="34" t="s">
        <v>62</v>
      </c>
      <c r="E546" s="34" t="s">
        <v>72</v>
      </c>
      <c r="F546" s="35">
        <v>109205</v>
      </c>
      <c r="G546" s="35">
        <v>4499</v>
      </c>
      <c r="H546" s="36">
        <v>4.1200000000000001E-2</v>
      </c>
      <c r="I546" s="37">
        <v>0.84</v>
      </c>
      <c r="J546" s="37">
        <v>3779.16</v>
      </c>
      <c r="K546" s="35">
        <v>49</v>
      </c>
      <c r="L546" s="37">
        <v>77.13</v>
      </c>
      <c r="M546" s="37">
        <v>13660.38</v>
      </c>
      <c r="N546" s="38">
        <v>3.61</v>
      </c>
    </row>
    <row r="547" spans="1:14" x14ac:dyDescent="0.3">
      <c r="A547" s="33">
        <v>45524</v>
      </c>
      <c r="B547" s="34" t="s">
        <v>60</v>
      </c>
      <c r="C547" s="34" t="s">
        <v>70</v>
      </c>
      <c r="D547" s="34" t="s">
        <v>76</v>
      </c>
      <c r="E547" s="34" t="s">
        <v>72</v>
      </c>
      <c r="F547" s="35">
        <v>161926</v>
      </c>
      <c r="G547" s="35">
        <v>5424</v>
      </c>
      <c r="H547" s="36">
        <v>3.3500000000000002E-2</v>
      </c>
      <c r="I547" s="37">
        <v>3.29</v>
      </c>
      <c r="J547" s="37">
        <v>17844.96</v>
      </c>
      <c r="K547" s="35">
        <v>87</v>
      </c>
      <c r="L547" s="37">
        <v>205.11</v>
      </c>
      <c r="M547" s="37">
        <v>11807.21</v>
      </c>
      <c r="N547" s="38">
        <v>0.66</v>
      </c>
    </row>
    <row r="548" spans="1:14" x14ac:dyDescent="0.3">
      <c r="A548" s="33">
        <v>45579</v>
      </c>
      <c r="B548" s="34" t="s">
        <v>74</v>
      </c>
      <c r="C548" s="34" t="s">
        <v>61</v>
      </c>
      <c r="D548" s="34" t="s">
        <v>76</v>
      </c>
      <c r="E548" s="34" t="s">
        <v>66</v>
      </c>
      <c r="F548" s="35">
        <v>125725</v>
      </c>
      <c r="G548" s="35">
        <v>1646</v>
      </c>
      <c r="H548" s="36">
        <v>1.3100000000000001E-2</v>
      </c>
      <c r="I548" s="37">
        <v>0.81</v>
      </c>
      <c r="J548" s="37">
        <v>1333.26</v>
      </c>
      <c r="K548" s="35">
        <v>19</v>
      </c>
      <c r="L548" s="37">
        <v>70.17</v>
      </c>
      <c r="M548" s="37">
        <v>2319.58</v>
      </c>
      <c r="N548" s="38">
        <v>1.74</v>
      </c>
    </row>
    <row r="549" spans="1:14" x14ac:dyDescent="0.3">
      <c r="A549" s="33">
        <v>45429</v>
      </c>
      <c r="B549" s="34" t="s">
        <v>64</v>
      </c>
      <c r="C549" s="34" t="s">
        <v>67</v>
      </c>
      <c r="D549" s="34" t="s">
        <v>68</v>
      </c>
      <c r="E549" s="34" t="s">
        <v>63</v>
      </c>
      <c r="F549" s="35">
        <v>116301</v>
      </c>
      <c r="G549" s="35">
        <v>4198</v>
      </c>
      <c r="H549" s="36">
        <v>3.61E-2</v>
      </c>
      <c r="I549" s="37">
        <v>1.45</v>
      </c>
      <c r="J549" s="37">
        <v>6087.1</v>
      </c>
      <c r="K549" s="35">
        <v>212</v>
      </c>
      <c r="L549" s="37">
        <v>28.71</v>
      </c>
      <c r="M549" s="37">
        <v>37780.9</v>
      </c>
      <c r="N549" s="38">
        <v>6.21</v>
      </c>
    </row>
    <row r="550" spans="1:14" x14ac:dyDescent="0.3">
      <c r="A550" s="33">
        <v>45638</v>
      </c>
      <c r="B550" s="34" t="s">
        <v>60</v>
      </c>
      <c r="C550" s="34" t="s">
        <v>70</v>
      </c>
      <c r="D550" s="34" t="s">
        <v>71</v>
      </c>
      <c r="E550" s="34" t="s">
        <v>73</v>
      </c>
      <c r="F550" s="35">
        <v>88251</v>
      </c>
      <c r="G550" s="35">
        <v>2665</v>
      </c>
      <c r="H550" s="36">
        <v>3.0200000000000001E-2</v>
      </c>
      <c r="I550" s="37">
        <v>1.29</v>
      </c>
      <c r="J550" s="37">
        <v>3437.85</v>
      </c>
      <c r="K550" s="35">
        <v>151</v>
      </c>
      <c r="L550" s="37">
        <v>22.77</v>
      </c>
      <c r="M550" s="37">
        <v>17509.21</v>
      </c>
      <c r="N550" s="38">
        <v>5.09</v>
      </c>
    </row>
    <row r="551" spans="1:14" x14ac:dyDescent="0.3">
      <c r="A551" s="33">
        <v>45577</v>
      </c>
      <c r="B551" s="34" t="s">
        <v>60</v>
      </c>
      <c r="C551" s="34" t="s">
        <v>67</v>
      </c>
      <c r="D551" s="34" t="s">
        <v>65</v>
      </c>
      <c r="E551" s="34" t="s">
        <v>72</v>
      </c>
      <c r="F551" s="35">
        <v>185378</v>
      </c>
      <c r="G551" s="35">
        <v>3244</v>
      </c>
      <c r="H551" s="36">
        <v>1.7500000000000002E-2</v>
      </c>
      <c r="I551" s="37">
        <v>1.82</v>
      </c>
      <c r="J551" s="37">
        <v>5904.08</v>
      </c>
      <c r="K551" s="35">
        <v>246</v>
      </c>
      <c r="L551" s="37">
        <v>24</v>
      </c>
      <c r="M551" s="37">
        <v>67552.800000000003</v>
      </c>
      <c r="N551" s="38">
        <v>11.44</v>
      </c>
    </row>
    <row r="552" spans="1:14" x14ac:dyDescent="0.3">
      <c r="A552" s="33">
        <v>45517</v>
      </c>
      <c r="B552" s="34" t="s">
        <v>74</v>
      </c>
      <c r="C552" s="34" t="s">
        <v>70</v>
      </c>
      <c r="D552" s="34" t="s">
        <v>71</v>
      </c>
      <c r="E552" s="34" t="s">
        <v>69</v>
      </c>
      <c r="F552" s="35">
        <v>177905</v>
      </c>
      <c r="G552" s="35">
        <v>5532</v>
      </c>
      <c r="H552" s="36">
        <v>3.1099999999999999E-2</v>
      </c>
      <c r="I552" s="37">
        <v>0.98</v>
      </c>
      <c r="J552" s="37">
        <v>5421.36</v>
      </c>
      <c r="K552" s="35">
        <v>370</v>
      </c>
      <c r="L552" s="37">
        <v>14.65</v>
      </c>
      <c r="M552" s="37">
        <v>14673.05</v>
      </c>
      <c r="N552" s="38">
        <v>2.71</v>
      </c>
    </row>
    <row r="553" spans="1:14" x14ac:dyDescent="0.3">
      <c r="A553" s="33">
        <v>45520</v>
      </c>
      <c r="B553" s="34" t="s">
        <v>74</v>
      </c>
      <c r="C553" s="34" t="s">
        <v>67</v>
      </c>
      <c r="D553" s="34" t="s">
        <v>76</v>
      </c>
      <c r="E553" s="34" t="s">
        <v>73</v>
      </c>
      <c r="F553" s="35">
        <v>122845</v>
      </c>
      <c r="G553" s="35">
        <v>2714</v>
      </c>
      <c r="H553" s="36">
        <v>2.2100000000000002E-2</v>
      </c>
      <c r="I553" s="37">
        <v>0.56999999999999995</v>
      </c>
      <c r="J553" s="37">
        <v>1546.98</v>
      </c>
      <c r="K553" s="35">
        <v>143</v>
      </c>
      <c r="L553" s="37">
        <v>10.82</v>
      </c>
      <c r="M553" s="37">
        <v>36419.79</v>
      </c>
      <c r="N553" s="38">
        <v>23.54</v>
      </c>
    </row>
    <row r="554" spans="1:14" x14ac:dyDescent="0.3">
      <c r="A554" s="33">
        <v>45460</v>
      </c>
      <c r="B554" s="34" t="s">
        <v>74</v>
      </c>
      <c r="C554" s="34" t="s">
        <v>67</v>
      </c>
      <c r="D554" s="34" t="s">
        <v>68</v>
      </c>
      <c r="E554" s="34" t="s">
        <v>72</v>
      </c>
      <c r="F554" s="35">
        <v>36017</v>
      </c>
      <c r="G554" s="35">
        <v>1210</v>
      </c>
      <c r="H554" s="36">
        <v>3.3599999999999998E-2</v>
      </c>
      <c r="I554" s="37">
        <v>1.01</v>
      </c>
      <c r="J554" s="37">
        <v>1222.0999999999999</v>
      </c>
      <c r="K554" s="35">
        <v>28</v>
      </c>
      <c r="L554" s="37">
        <v>43.65</v>
      </c>
      <c r="M554" s="37">
        <v>1258.31</v>
      </c>
      <c r="N554" s="38">
        <v>1.03</v>
      </c>
    </row>
    <row r="555" spans="1:14" x14ac:dyDescent="0.3">
      <c r="A555" s="33">
        <v>45425</v>
      </c>
      <c r="B555" s="34" t="s">
        <v>60</v>
      </c>
      <c r="C555" s="34" t="s">
        <v>61</v>
      </c>
      <c r="D555" s="34" t="s">
        <v>65</v>
      </c>
      <c r="E555" s="34" t="s">
        <v>69</v>
      </c>
      <c r="F555" s="35">
        <v>71267</v>
      </c>
      <c r="G555" s="35">
        <v>3962</v>
      </c>
      <c r="H555" s="36">
        <v>5.5599999999999997E-2</v>
      </c>
      <c r="I555" s="37">
        <v>0.93</v>
      </c>
      <c r="J555" s="37">
        <v>3684.66</v>
      </c>
      <c r="K555" s="35">
        <v>287</v>
      </c>
      <c r="L555" s="37">
        <v>12.84</v>
      </c>
      <c r="M555" s="37">
        <v>50107.59</v>
      </c>
      <c r="N555" s="38">
        <v>13.6</v>
      </c>
    </row>
    <row r="556" spans="1:14" x14ac:dyDescent="0.3">
      <c r="A556" s="33">
        <v>45295</v>
      </c>
      <c r="B556" s="34" t="s">
        <v>74</v>
      </c>
      <c r="C556" s="34" t="s">
        <v>75</v>
      </c>
      <c r="D556" s="34" t="s">
        <v>65</v>
      </c>
      <c r="E556" s="34" t="s">
        <v>77</v>
      </c>
      <c r="F556" s="35">
        <v>97152</v>
      </c>
      <c r="G556" s="35">
        <v>1156</v>
      </c>
      <c r="H556" s="36">
        <v>1.1900000000000001E-2</v>
      </c>
      <c r="I556" s="37">
        <v>0.54</v>
      </c>
      <c r="J556" s="37">
        <v>624.24</v>
      </c>
      <c r="K556" s="35">
        <v>43</v>
      </c>
      <c r="L556" s="37">
        <v>14.52</v>
      </c>
      <c r="M556" s="37">
        <v>4965.75</v>
      </c>
      <c r="N556" s="38">
        <v>7.95</v>
      </c>
    </row>
    <row r="557" spans="1:14" x14ac:dyDescent="0.3">
      <c r="A557" s="33">
        <v>45538</v>
      </c>
      <c r="B557" s="34" t="s">
        <v>74</v>
      </c>
      <c r="C557" s="34" t="s">
        <v>70</v>
      </c>
      <c r="D557" s="34" t="s">
        <v>76</v>
      </c>
      <c r="E557" s="34" t="s">
        <v>69</v>
      </c>
      <c r="F557" s="35">
        <v>33834</v>
      </c>
      <c r="G557" s="35">
        <v>906</v>
      </c>
      <c r="H557" s="36">
        <v>2.6800000000000001E-2</v>
      </c>
      <c r="I557" s="37">
        <v>0.88</v>
      </c>
      <c r="J557" s="37">
        <v>797.28</v>
      </c>
      <c r="K557" s="35">
        <v>23</v>
      </c>
      <c r="L557" s="37">
        <v>34.659999999999997</v>
      </c>
      <c r="M557" s="37">
        <v>2361.23</v>
      </c>
      <c r="N557" s="38">
        <v>2.96</v>
      </c>
    </row>
    <row r="558" spans="1:14" x14ac:dyDescent="0.3">
      <c r="A558" s="33">
        <v>45640</v>
      </c>
      <c r="B558" s="34" t="s">
        <v>64</v>
      </c>
      <c r="C558" s="34" t="s">
        <v>70</v>
      </c>
      <c r="D558" s="34" t="s">
        <v>76</v>
      </c>
      <c r="E558" s="34" t="s">
        <v>73</v>
      </c>
      <c r="F558" s="35">
        <v>183775</v>
      </c>
      <c r="G558" s="35">
        <v>7093</v>
      </c>
      <c r="H558" s="36">
        <v>3.8600000000000002E-2</v>
      </c>
      <c r="I558" s="37">
        <v>1</v>
      </c>
      <c r="J558" s="37">
        <v>7093</v>
      </c>
      <c r="K558" s="35">
        <v>373</v>
      </c>
      <c r="L558" s="37">
        <v>19.02</v>
      </c>
      <c r="M558" s="37">
        <v>88634</v>
      </c>
      <c r="N558" s="38">
        <v>12.5</v>
      </c>
    </row>
    <row r="559" spans="1:14" x14ac:dyDescent="0.3">
      <c r="A559" s="33">
        <v>45535</v>
      </c>
      <c r="B559" s="34" t="s">
        <v>74</v>
      </c>
      <c r="C559" s="34" t="s">
        <v>61</v>
      </c>
      <c r="D559" s="34" t="s">
        <v>62</v>
      </c>
      <c r="E559" s="34" t="s">
        <v>63</v>
      </c>
      <c r="F559" s="35">
        <v>199405</v>
      </c>
      <c r="G559" s="35">
        <v>5204</v>
      </c>
      <c r="H559" s="36">
        <v>2.6100000000000002E-2</v>
      </c>
      <c r="I559" s="37">
        <v>0.96</v>
      </c>
      <c r="J559" s="37">
        <v>4995.84</v>
      </c>
      <c r="K559" s="35">
        <v>333</v>
      </c>
      <c r="L559" s="37">
        <v>15</v>
      </c>
      <c r="M559" s="37">
        <v>25169.83</v>
      </c>
      <c r="N559" s="38">
        <v>5.04</v>
      </c>
    </row>
    <row r="560" spans="1:14" x14ac:dyDescent="0.3">
      <c r="A560" s="33">
        <v>45370</v>
      </c>
      <c r="B560" s="34" t="s">
        <v>64</v>
      </c>
      <c r="C560" s="34" t="s">
        <v>61</v>
      </c>
      <c r="D560" s="34" t="s">
        <v>68</v>
      </c>
      <c r="E560" s="34" t="s">
        <v>72</v>
      </c>
      <c r="F560" s="35">
        <v>169512</v>
      </c>
      <c r="G560" s="35">
        <v>9475</v>
      </c>
      <c r="H560" s="36">
        <v>5.5899999999999998E-2</v>
      </c>
      <c r="I560" s="37">
        <v>1.41</v>
      </c>
      <c r="J560" s="37">
        <v>13359.75</v>
      </c>
      <c r="K560" s="35">
        <v>203</v>
      </c>
      <c r="L560" s="37">
        <v>65.81</v>
      </c>
      <c r="M560" s="37">
        <v>26995.02</v>
      </c>
      <c r="N560" s="38">
        <v>2.02</v>
      </c>
    </row>
    <row r="561" spans="1:14" x14ac:dyDescent="0.3">
      <c r="A561" s="33">
        <v>45602</v>
      </c>
      <c r="B561" s="34" t="s">
        <v>60</v>
      </c>
      <c r="C561" s="34" t="s">
        <v>75</v>
      </c>
      <c r="D561" s="34" t="s">
        <v>65</v>
      </c>
      <c r="E561" s="34" t="s">
        <v>77</v>
      </c>
      <c r="F561" s="35">
        <v>14884</v>
      </c>
      <c r="G561" s="35">
        <v>541</v>
      </c>
      <c r="H561" s="36">
        <v>3.6400000000000002E-2</v>
      </c>
      <c r="I561" s="37">
        <v>3.25</v>
      </c>
      <c r="J561" s="37">
        <v>1758.25</v>
      </c>
      <c r="K561" s="35">
        <v>43</v>
      </c>
      <c r="L561" s="37">
        <v>40.89</v>
      </c>
      <c r="M561" s="37">
        <v>4123.58</v>
      </c>
      <c r="N561" s="38">
        <v>2.35</v>
      </c>
    </row>
    <row r="562" spans="1:14" x14ac:dyDescent="0.3">
      <c r="A562" s="33">
        <v>45615</v>
      </c>
      <c r="B562" s="34" t="s">
        <v>64</v>
      </c>
      <c r="C562" s="34" t="s">
        <v>70</v>
      </c>
      <c r="D562" s="34" t="s">
        <v>68</v>
      </c>
      <c r="E562" s="34" t="s">
        <v>72</v>
      </c>
      <c r="F562" s="35">
        <v>47623</v>
      </c>
      <c r="G562" s="35">
        <v>1695</v>
      </c>
      <c r="H562" s="36">
        <v>3.56E-2</v>
      </c>
      <c r="I562" s="37">
        <v>1.85</v>
      </c>
      <c r="J562" s="37">
        <v>3135.75</v>
      </c>
      <c r="K562" s="35">
        <v>36</v>
      </c>
      <c r="L562" s="37">
        <v>87.1</v>
      </c>
      <c r="M562" s="37">
        <v>9884.86</v>
      </c>
      <c r="N562" s="38">
        <v>3.15</v>
      </c>
    </row>
    <row r="563" spans="1:14" x14ac:dyDescent="0.3">
      <c r="A563" s="33">
        <v>45620</v>
      </c>
      <c r="B563" s="34" t="s">
        <v>74</v>
      </c>
      <c r="C563" s="34" t="s">
        <v>61</v>
      </c>
      <c r="D563" s="34" t="s">
        <v>76</v>
      </c>
      <c r="E563" s="34" t="s">
        <v>69</v>
      </c>
      <c r="F563" s="35">
        <v>102780</v>
      </c>
      <c r="G563" s="35">
        <v>1952</v>
      </c>
      <c r="H563" s="36">
        <v>1.9E-2</v>
      </c>
      <c r="I563" s="37">
        <v>1.2</v>
      </c>
      <c r="J563" s="37">
        <v>2342.4</v>
      </c>
      <c r="K563" s="35">
        <v>63</v>
      </c>
      <c r="L563" s="37">
        <v>37.18</v>
      </c>
      <c r="M563" s="37">
        <v>16160.9</v>
      </c>
      <c r="N563" s="38">
        <v>6.9</v>
      </c>
    </row>
    <row r="564" spans="1:14" x14ac:dyDescent="0.3">
      <c r="A564" s="33">
        <v>45332</v>
      </c>
      <c r="B564" s="34" t="s">
        <v>60</v>
      </c>
      <c r="C564" s="34" t="s">
        <v>70</v>
      </c>
      <c r="D564" s="34" t="s">
        <v>68</v>
      </c>
      <c r="E564" s="34" t="s">
        <v>78</v>
      </c>
      <c r="F564" s="35">
        <v>167717</v>
      </c>
      <c r="G564" s="35">
        <v>4142</v>
      </c>
      <c r="H564" s="36">
        <v>2.47E-2</v>
      </c>
      <c r="I564" s="37">
        <v>1.73</v>
      </c>
      <c r="J564" s="37">
        <v>7165.66</v>
      </c>
      <c r="K564" s="35">
        <v>71</v>
      </c>
      <c r="L564" s="37">
        <v>100.92</v>
      </c>
      <c r="M564" s="37">
        <v>15937.54</v>
      </c>
      <c r="N564" s="38">
        <v>2.2200000000000002</v>
      </c>
    </row>
    <row r="565" spans="1:14" x14ac:dyDescent="0.3">
      <c r="A565" s="33">
        <v>45540</v>
      </c>
      <c r="B565" s="34" t="s">
        <v>74</v>
      </c>
      <c r="C565" s="34" t="s">
        <v>61</v>
      </c>
      <c r="D565" s="34" t="s">
        <v>76</v>
      </c>
      <c r="E565" s="34" t="s">
        <v>66</v>
      </c>
      <c r="F565" s="35">
        <v>189598</v>
      </c>
      <c r="G565" s="35">
        <v>6673</v>
      </c>
      <c r="H565" s="36">
        <v>3.5200000000000002E-2</v>
      </c>
      <c r="I565" s="37">
        <v>1.99</v>
      </c>
      <c r="J565" s="37">
        <v>13279.27</v>
      </c>
      <c r="K565" s="35">
        <v>170</v>
      </c>
      <c r="L565" s="37">
        <v>78.11</v>
      </c>
      <c r="M565" s="37">
        <v>36177.68</v>
      </c>
      <c r="N565" s="38">
        <v>2.72</v>
      </c>
    </row>
    <row r="566" spans="1:14" x14ac:dyDescent="0.3">
      <c r="A566" s="33">
        <v>45312</v>
      </c>
      <c r="B566" s="34" t="s">
        <v>64</v>
      </c>
      <c r="C566" s="34" t="s">
        <v>75</v>
      </c>
      <c r="D566" s="34" t="s">
        <v>71</v>
      </c>
      <c r="E566" s="34" t="s">
        <v>72</v>
      </c>
      <c r="F566" s="35">
        <v>92273</v>
      </c>
      <c r="G566" s="35">
        <v>6237</v>
      </c>
      <c r="H566" s="36">
        <v>6.7599999999999993E-2</v>
      </c>
      <c r="I566" s="37">
        <v>1.41</v>
      </c>
      <c r="J566" s="37">
        <v>8794.17</v>
      </c>
      <c r="K566" s="35">
        <v>291</v>
      </c>
      <c r="L566" s="37">
        <v>30.22</v>
      </c>
      <c r="M566" s="37">
        <v>72065.02</v>
      </c>
      <c r="N566" s="38">
        <v>8.19</v>
      </c>
    </row>
    <row r="567" spans="1:14" x14ac:dyDescent="0.3">
      <c r="A567" s="33">
        <v>45540</v>
      </c>
      <c r="B567" s="34" t="s">
        <v>60</v>
      </c>
      <c r="C567" s="34" t="s">
        <v>75</v>
      </c>
      <c r="D567" s="34" t="s">
        <v>62</v>
      </c>
      <c r="E567" s="34" t="s">
        <v>66</v>
      </c>
      <c r="F567" s="35">
        <v>118884</v>
      </c>
      <c r="G567" s="35">
        <v>5932</v>
      </c>
      <c r="H567" s="36">
        <v>4.99E-2</v>
      </c>
      <c r="I567" s="37">
        <v>2.95</v>
      </c>
      <c r="J567" s="37">
        <v>17499.400000000001</v>
      </c>
      <c r="K567" s="35">
        <v>450</v>
      </c>
      <c r="L567" s="37">
        <v>38.89</v>
      </c>
      <c r="M567" s="37">
        <v>121374.91</v>
      </c>
      <c r="N567" s="38">
        <v>6.94</v>
      </c>
    </row>
    <row r="568" spans="1:14" x14ac:dyDescent="0.3">
      <c r="A568" s="33">
        <v>45386</v>
      </c>
      <c r="B568" s="34" t="s">
        <v>60</v>
      </c>
      <c r="C568" s="34" t="s">
        <v>61</v>
      </c>
      <c r="D568" s="34" t="s">
        <v>68</v>
      </c>
      <c r="E568" s="34" t="s">
        <v>78</v>
      </c>
      <c r="F568" s="35">
        <v>84303</v>
      </c>
      <c r="G568" s="35">
        <v>4417</v>
      </c>
      <c r="H568" s="36">
        <v>5.2400000000000002E-2</v>
      </c>
      <c r="I568" s="37">
        <v>3.12</v>
      </c>
      <c r="J568" s="37">
        <v>13781.04</v>
      </c>
      <c r="K568" s="35">
        <v>100</v>
      </c>
      <c r="L568" s="37">
        <v>137.81</v>
      </c>
      <c r="M568" s="37">
        <v>20354.89</v>
      </c>
      <c r="N568" s="38">
        <v>1.48</v>
      </c>
    </row>
    <row r="569" spans="1:14" x14ac:dyDescent="0.3">
      <c r="A569" s="33">
        <v>45295</v>
      </c>
      <c r="B569" s="34" t="s">
        <v>60</v>
      </c>
      <c r="C569" s="34" t="s">
        <v>67</v>
      </c>
      <c r="D569" s="34" t="s">
        <v>65</v>
      </c>
      <c r="E569" s="34" t="s">
        <v>72</v>
      </c>
      <c r="F569" s="35">
        <v>89730</v>
      </c>
      <c r="G569" s="35">
        <v>4621</v>
      </c>
      <c r="H569" s="36">
        <v>5.1499999999999997E-2</v>
      </c>
      <c r="I569" s="37">
        <v>2.68</v>
      </c>
      <c r="J569" s="37">
        <v>12384.28</v>
      </c>
      <c r="K569" s="35">
        <v>277</v>
      </c>
      <c r="L569" s="37">
        <v>44.71</v>
      </c>
      <c r="M569" s="37">
        <v>13483.54</v>
      </c>
      <c r="N569" s="38">
        <v>1.0900000000000001</v>
      </c>
    </row>
    <row r="570" spans="1:14" x14ac:dyDescent="0.3">
      <c r="A570" s="33">
        <v>45626</v>
      </c>
      <c r="B570" s="34" t="s">
        <v>60</v>
      </c>
      <c r="C570" s="34" t="s">
        <v>61</v>
      </c>
      <c r="D570" s="34" t="s">
        <v>71</v>
      </c>
      <c r="E570" s="34" t="s">
        <v>66</v>
      </c>
      <c r="F570" s="35">
        <v>174737</v>
      </c>
      <c r="G570" s="35">
        <v>5207</v>
      </c>
      <c r="H570" s="36">
        <v>2.98E-2</v>
      </c>
      <c r="I570" s="37">
        <v>1.44</v>
      </c>
      <c r="J570" s="37">
        <v>7498.08</v>
      </c>
      <c r="K570" s="35">
        <v>398</v>
      </c>
      <c r="L570" s="37">
        <v>18.84</v>
      </c>
      <c r="M570" s="37">
        <v>90351.24</v>
      </c>
      <c r="N570" s="38">
        <v>12.05</v>
      </c>
    </row>
    <row r="571" spans="1:14" x14ac:dyDescent="0.3">
      <c r="A571" s="33">
        <v>45545</v>
      </c>
      <c r="B571" s="34" t="s">
        <v>60</v>
      </c>
      <c r="C571" s="34" t="s">
        <v>70</v>
      </c>
      <c r="D571" s="34" t="s">
        <v>68</v>
      </c>
      <c r="E571" s="34" t="s">
        <v>72</v>
      </c>
      <c r="F571" s="35">
        <v>145508</v>
      </c>
      <c r="G571" s="35">
        <v>7158</v>
      </c>
      <c r="H571" s="36">
        <v>4.9200000000000001E-2</v>
      </c>
      <c r="I571" s="37">
        <v>1.44</v>
      </c>
      <c r="J571" s="37">
        <v>10307.52</v>
      </c>
      <c r="K571" s="35">
        <v>566</v>
      </c>
      <c r="L571" s="37">
        <v>18.21</v>
      </c>
      <c r="M571" s="37">
        <v>76404.289999999994</v>
      </c>
      <c r="N571" s="38">
        <v>7.41</v>
      </c>
    </row>
    <row r="572" spans="1:14" x14ac:dyDescent="0.3">
      <c r="A572" s="33">
        <v>45406</v>
      </c>
      <c r="B572" s="34" t="s">
        <v>60</v>
      </c>
      <c r="C572" s="34" t="s">
        <v>70</v>
      </c>
      <c r="D572" s="34" t="s">
        <v>65</v>
      </c>
      <c r="E572" s="34" t="s">
        <v>78</v>
      </c>
      <c r="F572" s="35">
        <v>75649</v>
      </c>
      <c r="G572" s="35">
        <v>1792</v>
      </c>
      <c r="H572" s="36">
        <v>2.3699999999999999E-2</v>
      </c>
      <c r="I572" s="37">
        <v>2.78</v>
      </c>
      <c r="J572" s="37">
        <v>4981.76</v>
      </c>
      <c r="K572" s="35">
        <v>110</v>
      </c>
      <c r="L572" s="37">
        <v>45.29</v>
      </c>
      <c r="M572" s="37">
        <v>12588.99</v>
      </c>
      <c r="N572" s="38">
        <v>2.5299999999999998</v>
      </c>
    </row>
    <row r="573" spans="1:14" x14ac:dyDescent="0.3">
      <c r="A573" s="33">
        <v>45376</v>
      </c>
      <c r="B573" s="34" t="s">
        <v>64</v>
      </c>
      <c r="C573" s="34" t="s">
        <v>75</v>
      </c>
      <c r="D573" s="34" t="s">
        <v>76</v>
      </c>
      <c r="E573" s="34" t="s">
        <v>66</v>
      </c>
      <c r="F573" s="35">
        <v>85522</v>
      </c>
      <c r="G573" s="35">
        <v>3378</v>
      </c>
      <c r="H573" s="36">
        <v>3.95E-2</v>
      </c>
      <c r="I573" s="37">
        <v>0.35</v>
      </c>
      <c r="J573" s="37">
        <v>1182.3</v>
      </c>
      <c r="K573" s="35">
        <v>167</v>
      </c>
      <c r="L573" s="37">
        <v>7.08</v>
      </c>
      <c r="M573" s="37">
        <v>30312.31</v>
      </c>
      <c r="N573" s="38">
        <v>25.64</v>
      </c>
    </row>
    <row r="574" spans="1:14" x14ac:dyDescent="0.3">
      <c r="A574" s="33">
        <v>45615</v>
      </c>
      <c r="B574" s="34" t="s">
        <v>74</v>
      </c>
      <c r="C574" s="34" t="s">
        <v>70</v>
      </c>
      <c r="D574" s="34" t="s">
        <v>68</v>
      </c>
      <c r="E574" s="34" t="s">
        <v>73</v>
      </c>
      <c r="F574" s="35">
        <v>19588</v>
      </c>
      <c r="G574" s="35">
        <v>434</v>
      </c>
      <c r="H574" s="36">
        <v>2.2200000000000001E-2</v>
      </c>
      <c r="I574" s="37">
        <v>1.77</v>
      </c>
      <c r="J574" s="37">
        <v>768.18</v>
      </c>
      <c r="K574" s="35">
        <v>5</v>
      </c>
      <c r="L574" s="37">
        <v>153.63999999999999</v>
      </c>
      <c r="M574" s="37">
        <v>560.03</v>
      </c>
      <c r="N574" s="38">
        <v>0.73</v>
      </c>
    </row>
    <row r="575" spans="1:14" x14ac:dyDescent="0.3">
      <c r="A575" s="33">
        <v>45598</v>
      </c>
      <c r="B575" s="34" t="s">
        <v>64</v>
      </c>
      <c r="C575" s="34" t="s">
        <v>67</v>
      </c>
      <c r="D575" s="34" t="s">
        <v>76</v>
      </c>
      <c r="E575" s="34" t="s">
        <v>73</v>
      </c>
      <c r="F575" s="35">
        <v>92985</v>
      </c>
      <c r="G575" s="35">
        <v>8024</v>
      </c>
      <c r="H575" s="36">
        <v>8.6300000000000002E-2</v>
      </c>
      <c r="I575" s="37">
        <v>0.85</v>
      </c>
      <c r="J575" s="37">
        <v>6820.4</v>
      </c>
      <c r="K575" s="35">
        <v>520</v>
      </c>
      <c r="L575" s="37">
        <v>13.12</v>
      </c>
      <c r="M575" s="37">
        <v>150774.99</v>
      </c>
      <c r="N575" s="38">
        <v>22.11</v>
      </c>
    </row>
    <row r="576" spans="1:14" x14ac:dyDescent="0.3">
      <c r="A576" s="33">
        <v>45372</v>
      </c>
      <c r="B576" s="34" t="s">
        <v>60</v>
      </c>
      <c r="C576" s="34" t="s">
        <v>67</v>
      </c>
      <c r="D576" s="34" t="s">
        <v>76</v>
      </c>
      <c r="E576" s="34" t="s">
        <v>69</v>
      </c>
      <c r="F576" s="35">
        <v>134198</v>
      </c>
      <c r="G576" s="35">
        <v>2670</v>
      </c>
      <c r="H576" s="36">
        <v>1.9900000000000001E-2</v>
      </c>
      <c r="I576" s="37">
        <v>3.15</v>
      </c>
      <c r="J576" s="37">
        <v>8410.5</v>
      </c>
      <c r="K576" s="35">
        <v>71</v>
      </c>
      <c r="L576" s="37">
        <v>118.46</v>
      </c>
      <c r="M576" s="37">
        <v>14769.75</v>
      </c>
      <c r="N576" s="38">
        <v>1.76</v>
      </c>
    </row>
    <row r="577" spans="1:14" x14ac:dyDescent="0.3">
      <c r="A577" s="33">
        <v>45632</v>
      </c>
      <c r="B577" s="34" t="s">
        <v>64</v>
      </c>
      <c r="C577" s="34" t="s">
        <v>61</v>
      </c>
      <c r="D577" s="34" t="s">
        <v>76</v>
      </c>
      <c r="E577" s="34" t="s">
        <v>73</v>
      </c>
      <c r="F577" s="35">
        <v>25951</v>
      </c>
      <c r="G577" s="35">
        <v>809</v>
      </c>
      <c r="H577" s="36">
        <v>3.1199999999999999E-2</v>
      </c>
      <c r="I577" s="37">
        <v>0.48</v>
      </c>
      <c r="J577" s="37">
        <v>388.32</v>
      </c>
      <c r="K577" s="35">
        <v>61</v>
      </c>
      <c r="L577" s="37">
        <v>6.37</v>
      </c>
      <c r="M577" s="37">
        <v>10397.040000000001</v>
      </c>
      <c r="N577" s="38">
        <v>26.77</v>
      </c>
    </row>
    <row r="578" spans="1:14" x14ac:dyDescent="0.3">
      <c r="A578" s="33">
        <v>45584</v>
      </c>
      <c r="B578" s="34" t="s">
        <v>60</v>
      </c>
      <c r="C578" s="34" t="s">
        <v>70</v>
      </c>
      <c r="D578" s="34" t="s">
        <v>76</v>
      </c>
      <c r="E578" s="34" t="s">
        <v>66</v>
      </c>
      <c r="F578" s="35">
        <v>55385</v>
      </c>
      <c r="G578" s="35">
        <v>1678</v>
      </c>
      <c r="H578" s="36">
        <v>3.0300000000000001E-2</v>
      </c>
      <c r="I578" s="37">
        <v>1.44</v>
      </c>
      <c r="J578" s="37">
        <v>2416.3200000000002</v>
      </c>
      <c r="K578" s="35">
        <v>64</v>
      </c>
      <c r="L578" s="37">
        <v>37.76</v>
      </c>
      <c r="M578" s="37">
        <v>18110.48</v>
      </c>
      <c r="N578" s="38">
        <v>7.5</v>
      </c>
    </row>
    <row r="579" spans="1:14" x14ac:dyDescent="0.3">
      <c r="A579" s="33">
        <v>45292</v>
      </c>
      <c r="B579" s="34" t="s">
        <v>60</v>
      </c>
      <c r="C579" s="34" t="s">
        <v>61</v>
      </c>
      <c r="D579" s="34" t="s">
        <v>71</v>
      </c>
      <c r="E579" s="34" t="s">
        <v>77</v>
      </c>
      <c r="F579" s="35">
        <v>21702</v>
      </c>
      <c r="G579" s="35">
        <v>1000</v>
      </c>
      <c r="H579" s="36">
        <v>4.6100000000000002E-2</v>
      </c>
      <c r="I579" s="37">
        <v>3.17</v>
      </c>
      <c r="J579" s="37">
        <v>3170</v>
      </c>
      <c r="K579" s="35">
        <v>17</v>
      </c>
      <c r="L579" s="37">
        <v>186.47</v>
      </c>
      <c r="M579" s="37">
        <v>3670.88</v>
      </c>
      <c r="N579" s="38">
        <v>1.1599999999999999</v>
      </c>
    </row>
    <row r="580" spans="1:14" x14ac:dyDescent="0.3">
      <c r="A580" s="33">
        <v>45349</v>
      </c>
      <c r="B580" s="34" t="s">
        <v>64</v>
      </c>
      <c r="C580" s="34" t="s">
        <v>61</v>
      </c>
      <c r="D580" s="34" t="s">
        <v>71</v>
      </c>
      <c r="E580" s="34" t="s">
        <v>63</v>
      </c>
      <c r="F580" s="35">
        <v>195972</v>
      </c>
      <c r="G580" s="35">
        <v>13796</v>
      </c>
      <c r="H580" s="36">
        <v>7.0400000000000004E-2</v>
      </c>
      <c r="I580" s="37">
        <v>0.5</v>
      </c>
      <c r="J580" s="37">
        <v>6898</v>
      </c>
      <c r="K580" s="35">
        <v>645</v>
      </c>
      <c r="L580" s="37">
        <v>10.69</v>
      </c>
      <c r="M580" s="37">
        <v>54701.33</v>
      </c>
      <c r="N580" s="38">
        <v>7.93</v>
      </c>
    </row>
    <row r="581" spans="1:14" x14ac:dyDescent="0.3">
      <c r="A581" s="33">
        <v>45547</v>
      </c>
      <c r="B581" s="34" t="s">
        <v>74</v>
      </c>
      <c r="C581" s="34" t="s">
        <v>61</v>
      </c>
      <c r="D581" s="34" t="s">
        <v>68</v>
      </c>
      <c r="E581" s="34" t="s">
        <v>63</v>
      </c>
      <c r="F581" s="35">
        <v>73447</v>
      </c>
      <c r="G581" s="35">
        <v>2401</v>
      </c>
      <c r="H581" s="36">
        <v>3.27E-2</v>
      </c>
      <c r="I581" s="37">
        <v>1.44</v>
      </c>
      <c r="J581" s="37">
        <v>3457.44</v>
      </c>
      <c r="K581" s="35">
        <v>93</v>
      </c>
      <c r="L581" s="37">
        <v>37.18</v>
      </c>
      <c r="M581" s="37">
        <v>11150.38</v>
      </c>
      <c r="N581" s="38">
        <v>3.23</v>
      </c>
    </row>
    <row r="582" spans="1:14" x14ac:dyDescent="0.3">
      <c r="A582" s="33">
        <v>45582</v>
      </c>
      <c r="B582" s="34" t="s">
        <v>74</v>
      </c>
      <c r="C582" s="34" t="s">
        <v>61</v>
      </c>
      <c r="D582" s="34" t="s">
        <v>68</v>
      </c>
      <c r="E582" s="34" t="s">
        <v>63</v>
      </c>
      <c r="F582" s="35">
        <v>55867</v>
      </c>
      <c r="G582" s="35">
        <v>1681</v>
      </c>
      <c r="H582" s="36">
        <v>3.0099999999999998E-2</v>
      </c>
      <c r="I582" s="37">
        <v>1.98</v>
      </c>
      <c r="J582" s="37">
        <v>3328.38</v>
      </c>
      <c r="K582" s="35">
        <v>32</v>
      </c>
      <c r="L582" s="37">
        <v>104.01</v>
      </c>
      <c r="M582" s="37">
        <v>3790.94</v>
      </c>
      <c r="N582" s="38">
        <v>1.1399999999999999</v>
      </c>
    </row>
    <row r="583" spans="1:14" x14ac:dyDescent="0.3">
      <c r="A583" s="33">
        <v>45431</v>
      </c>
      <c r="B583" s="34" t="s">
        <v>60</v>
      </c>
      <c r="C583" s="34" t="s">
        <v>75</v>
      </c>
      <c r="D583" s="34" t="s">
        <v>62</v>
      </c>
      <c r="E583" s="34" t="s">
        <v>66</v>
      </c>
      <c r="F583" s="35">
        <v>64567</v>
      </c>
      <c r="G583" s="35">
        <v>1439</v>
      </c>
      <c r="H583" s="36">
        <v>2.23E-2</v>
      </c>
      <c r="I583" s="37">
        <v>2.29</v>
      </c>
      <c r="J583" s="37">
        <v>3295.31</v>
      </c>
      <c r="K583" s="35">
        <v>64</v>
      </c>
      <c r="L583" s="37">
        <v>51.49</v>
      </c>
      <c r="M583" s="37">
        <v>4231.38</v>
      </c>
      <c r="N583" s="38">
        <v>1.28</v>
      </c>
    </row>
    <row r="584" spans="1:14" x14ac:dyDescent="0.3">
      <c r="A584" s="33">
        <v>45475</v>
      </c>
      <c r="B584" s="34" t="s">
        <v>64</v>
      </c>
      <c r="C584" s="34" t="s">
        <v>70</v>
      </c>
      <c r="D584" s="34" t="s">
        <v>71</v>
      </c>
      <c r="E584" s="34" t="s">
        <v>73</v>
      </c>
      <c r="F584" s="35">
        <v>97254</v>
      </c>
      <c r="G584" s="35">
        <v>3374</v>
      </c>
      <c r="H584" s="36">
        <v>3.4700000000000002E-2</v>
      </c>
      <c r="I584" s="37">
        <v>1.65</v>
      </c>
      <c r="J584" s="37">
        <v>5567.1</v>
      </c>
      <c r="K584" s="35">
        <v>63</v>
      </c>
      <c r="L584" s="37">
        <v>88.37</v>
      </c>
      <c r="M584" s="37">
        <v>17255.150000000001</v>
      </c>
      <c r="N584" s="38">
        <v>3.1</v>
      </c>
    </row>
    <row r="585" spans="1:14" x14ac:dyDescent="0.3">
      <c r="A585" s="33">
        <v>45311</v>
      </c>
      <c r="B585" s="34" t="s">
        <v>74</v>
      </c>
      <c r="C585" s="34" t="s">
        <v>70</v>
      </c>
      <c r="D585" s="34" t="s">
        <v>68</v>
      </c>
      <c r="E585" s="34" t="s">
        <v>66</v>
      </c>
      <c r="F585" s="35">
        <v>147897</v>
      </c>
      <c r="G585" s="35">
        <v>2144</v>
      </c>
      <c r="H585" s="36">
        <v>1.4500000000000001E-2</v>
      </c>
      <c r="I585" s="37">
        <v>1.94</v>
      </c>
      <c r="J585" s="37">
        <v>4159.3599999999997</v>
      </c>
      <c r="K585" s="35">
        <v>24</v>
      </c>
      <c r="L585" s="37">
        <v>173.31</v>
      </c>
      <c r="M585" s="37">
        <v>3826.61</v>
      </c>
      <c r="N585" s="38">
        <v>0.92</v>
      </c>
    </row>
    <row r="586" spans="1:14" x14ac:dyDescent="0.3">
      <c r="A586" s="33">
        <v>45548</v>
      </c>
      <c r="B586" s="34" t="s">
        <v>74</v>
      </c>
      <c r="C586" s="34" t="s">
        <v>75</v>
      </c>
      <c r="D586" s="34" t="s">
        <v>68</v>
      </c>
      <c r="E586" s="34" t="s">
        <v>72</v>
      </c>
      <c r="F586" s="35">
        <v>115379</v>
      </c>
      <c r="G586" s="35">
        <v>5134</v>
      </c>
      <c r="H586" s="36">
        <v>4.4499999999999998E-2</v>
      </c>
      <c r="I586" s="37">
        <v>2.41</v>
      </c>
      <c r="J586" s="37">
        <v>12372.94</v>
      </c>
      <c r="K586" s="35">
        <v>391</v>
      </c>
      <c r="L586" s="37">
        <v>31.64</v>
      </c>
      <c r="M586" s="37">
        <v>109895.16</v>
      </c>
      <c r="N586" s="38">
        <v>8.8800000000000008</v>
      </c>
    </row>
    <row r="587" spans="1:14" x14ac:dyDescent="0.3">
      <c r="A587" s="33">
        <v>45354</v>
      </c>
      <c r="B587" s="34" t="s">
        <v>60</v>
      </c>
      <c r="C587" s="34" t="s">
        <v>61</v>
      </c>
      <c r="D587" s="34" t="s">
        <v>62</v>
      </c>
      <c r="E587" s="34" t="s">
        <v>66</v>
      </c>
      <c r="F587" s="35">
        <v>51566</v>
      </c>
      <c r="G587" s="35">
        <v>1531</v>
      </c>
      <c r="H587" s="36">
        <v>2.9700000000000001E-2</v>
      </c>
      <c r="I587" s="37">
        <v>1.39</v>
      </c>
      <c r="J587" s="37">
        <v>2128.09</v>
      </c>
      <c r="K587" s="35">
        <v>112</v>
      </c>
      <c r="L587" s="37">
        <v>19</v>
      </c>
      <c r="M587" s="37">
        <v>6716.48</v>
      </c>
      <c r="N587" s="38">
        <v>3.16</v>
      </c>
    </row>
    <row r="588" spans="1:14" x14ac:dyDescent="0.3">
      <c r="A588" s="33">
        <v>45461</v>
      </c>
      <c r="B588" s="34" t="s">
        <v>60</v>
      </c>
      <c r="C588" s="34" t="s">
        <v>61</v>
      </c>
      <c r="D588" s="34" t="s">
        <v>68</v>
      </c>
      <c r="E588" s="34" t="s">
        <v>63</v>
      </c>
      <c r="F588" s="35">
        <v>184889</v>
      </c>
      <c r="G588" s="35">
        <v>6212</v>
      </c>
      <c r="H588" s="36">
        <v>3.3599999999999998E-2</v>
      </c>
      <c r="I588" s="37">
        <v>2.17</v>
      </c>
      <c r="J588" s="37">
        <v>13480.04</v>
      </c>
      <c r="K588" s="35">
        <v>73</v>
      </c>
      <c r="L588" s="37">
        <v>184.66</v>
      </c>
      <c r="M588" s="37">
        <v>2434.91</v>
      </c>
      <c r="N588" s="38">
        <v>0.18</v>
      </c>
    </row>
    <row r="589" spans="1:14" x14ac:dyDescent="0.3">
      <c r="A589" s="33">
        <v>45399</v>
      </c>
      <c r="B589" s="34" t="s">
        <v>64</v>
      </c>
      <c r="C589" s="34" t="s">
        <v>70</v>
      </c>
      <c r="D589" s="34" t="s">
        <v>65</v>
      </c>
      <c r="E589" s="34" t="s">
        <v>78</v>
      </c>
      <c r="F589" s="35">
        <v>100028</v>
      </c>
      <c r="G589" s="35">
        <v>7402</v>
      </c>
      <c r="H589" s="36">
        <v>7.3999999999999996E-2</v>
      </c>
      <c r="I589" s="37">
        <v>0.73</v>
      </c>
      <c r="J589" s="37">
        <v>5403.46</v>
      </c>
      <c r="K589" s="35">
        <v>100</v>
      </c>
      <c r="L589" s="37">
        <v>54.03</v>
      </c>
      <c r="M589" s="37">
        <v>7280.48</v>
      </c>
      <c r="N589" s="38">
        <v>1.35</v>
      </c>
    </row>
    <row r="590" spans="1:14" x14ac:dyDescent="0.3">
      <c r="A590" s="33">
        <v>45504</v>
      </c>
      <c r="B590" s="34" t="s">
        <v>64</v>
      </c>
      <c r="C590" s="34" t="s">
        <v>61</v>
      </c>
      <c r="D590" s="34" t="s">
        <v>65</v>
      </c>
      <c r="E590" s="34" t="s">
        <v>77</v>
      </c>
      <c r="F590" s="35">
        <v>29741</v>
      </c>
      <c r="G590" s="35">
        <v>1287</v>
      </c>
      <c r="H590" s="36">
        <v>4.3299999999999998E-2</v>
      </c>
      <c r="I590" s="37">
        <v>1.23</v>
      </c>
      <c r="J590" s="37">
        <v>1583.01</v>
      </c>
      <c r="K590" s="35">
        <v>55</v>
      </c>
      <c r="L590" s="37">
        <v>28.78</v>
      </c>
      <c r="M590" s="37">
        <v>6012.36</v>
      </c>
      <c r="N590" s="38">
        <v>3.8</v>
      </c>
    </row>
    <row r="591" spans="1:14" x14ac:dyDescent="0.3">
      <c r="A591" s="33">
        <v>45363</v>
      </c>
      <c r="B591" s="34" t="s">
        <v>60</v>
      </c>
      <c r="C591" s="34" t="s">
        <v>70</v>
      </c>
      <c r="D591" s="34" t="s">
        <v>62</v>
      </c>
      <c r="E591" s="34" t="s">
        <v>78</v>
      </c>
      <c r="F591" s="35">
        <v>155033</v>
      </c>
      <c r="G591" s="35">
        <v>5782</v>
      </c>
      <c r="H591" s="36">
        <v>3.73E-2</v>
      </c>
      <c r="I591" s="37">
        <v>2.17</v>
      </c>
      <c r="J591" s="37">
        <v>12546.94</v>
      </c>
      <c r="K591" s="35">
        <v>248</v>
      </c>
      <c r="L591" s="37">
        <v>50.59</v>
      </c>
      <c r="M591" s="37">
        <v>71470.23</v>
      </c>
      <c r="N591" s="38">
        <v>5.7</v>
      </c>
    </row>
    <row r="592" spans="1:14" x14ac:dyDescent="0.3">
      <c r="A592" s="33">
        <v>45519</v>
      </c>
      <c r="B592" s="34" t="s">
        <v>64</v>
      </c>
      <c r="C592" s="34" t="s">
        <v>70</v>
      </c>
      <c r="D592" s="34" t="s">
        <v>62</v>
      </c>
      <c r="E592" s="34" t="s">
        <v>73</v>
      </c>
      <c r="F592" s="35">
        <v>13562</v>
      </c>
      <c r="G592" s="35">
        <v>790</v>
      </c>
      <c r="H592" s="36">
        <v>5.8299999999999998E-2</v>
      </c>
      <c r="I592" s="37">
        <v>1.18</v>
      </c>
      <c r="J592" s="37">
        <v>932.2</v>
      </c>
      <c r="K592" s="35">
        <v>40</v>
      </c>
      <c r="L592" s="37">
        <v>23.3</v>
      </c>
      <c r="M592" s="37">
        <v>7014.55</v>
      </c>
      <c r="N592" s="38">
        <v>7.52</v>
      </c>
    </row>
    <row r="593" spans="1:14" x14ac:dyDescent="0.3">
      <c r="A593" s="33">
        <v>45309</v>
      </c>
      <c r="B593" s="34" t="s">
        <v>74</v>
      </c>
      <c r="C593" s="34" t="s">
        <v>70</v>
      </c>
      <c r="D593" s="34" t="s">
        <v>68</v>
      </c>
      <c r="E593" s="34" t="s">
        <v>63</v>
      </c>
      <c r="F593" s="35">
        <v>84830</v>
      </c>
      <c r="G593" s="35">
        <v>2612</v>
      </c>
      <c r="H593" s="36">
        <v>3.0800000000000001E-2</v>
      </c>
      <c r="I593" s="37">
        <v>1.98</v>
      </c>
      <c r="J593" s="37">
        <v>5171.76</v>
      </c>
      <c r="K593" s="35">
        <v>84</v>
      </c>
      <c r="L593" s="37">
        <v>61.57</v>
      </c>
      <c r="M593" s="37">
        <v>6284.59</v>
      </c>
      <c r="N593" s="38">
        <v>1.22</v>
      </c>
    </row>
    <row r="594" spans="1:14" x14ac:dyDescent="0.3">
      <c r="A594" s="33">
        <v>45433</v>
      </c>
      <c r="B594" s="34" t="s">
        <v>74</v>
      </c>
      <c r="C594" s="34" t="s">
        <v>70</v>
      </c>
      <c r="D594" s="34" t="s">
        <v>68</v>
      </c>
      <c r="E594" s="34" t="s">
        <v>72</v>
      </c>
      <c r="F594" s="35">
        <v>119427</v>
      </c>
      <c r="G594" s="35">
        <v>1146</v>
      </c>
      <c r="H594" s="36">
        <v>9.5999999999999992E-3</v>
      </c>
      <c r="I594" s="37">
        <v>1.93</v>
      </c>
      <c r="J594" s="37">
        <v>2211.7800000000002</v>
      </c>
      <c r="K594" s="35">
        <v>27</v>
      </c>
      <c r="L594" s="37">
        <v>81.92</v>
      </c>
      <c r="M594" s="37">
        <v>5094.3599999999997</v>
      </c>
      <c r="N594" s="38">
        <v>2.2999999999999998</v>
      </c>
    </row>
    <row r="595" spans="1:14" x14ac:dyDescent="0.3">
      <c r="A595" s="33">
        <v>45519</v>
      </c>
      <c r="B595" s="34" t="s">
        <v>60</v>
      </c>
      <c r="C595" s="34" t="s">
        <v>70</v>
      </c>
      <c r="D595" s="34" t="s">
        <v>65</v>
      </c>
      <c r="E595" s="34" t="s">
        <v>77</v>
      </c>
      <c r="F595" s="35">
        <v>175623</v>
      </c>
      <c r="G595" s="35">
        <v>9483</v>
      </c>
      <c r="H595" s="36">
        <v>5.3999999999999999E-2</v>
      </c>
      <c r="I595" s="37">
        <v>0.97</v>
      </c>
      <c r="J595" s="37">
        <v>9198.51</v>
      </c>
      <c r="K595" s="35">
        <v>268</v>
      </c>
      <c r="L595" s="37">
        <v>34.32</v>
      </c>
      <c r="M595" s="37">
        <v>79311.56</v>
      </c>
      <c r="N595" s="38">
        <v>8.6199999999999992</v>
      </c>
    </row>
    <row r="596" spans="1:14" x14ac:dyDescent="0.3">
      <c r="A596" s="33">
        <v>45498</v>
      </c>
      <c r="B596" s="34" t="s">
        <v>60</v>
      </c>
      <c r="C596" s="34" t="s">
        <v>61</v>
      </c>
      <c r="D596" s="34" t="s">
        <v>71</v>
      </c>
      <c r="E596" s="34" t="s">
        <v>78</v>
      </c>
      <c r="F596" s="35">
        <v>93919</v>
      </c>
      <c r="G596" s="35">
        <v>4968</v>
      </c>
      <c r="H596" s="36">
        <v>5.2900000000000003E-2</v>
      </c>
      <c r="I596" s="37">
        <v>2.5499999999999998</v>
      </c>
      <c r="J596" s="37">
        <v>12668.4</v>
      </c>
      <c r="K596" s="35">
        <v>308</v>
      </c>
      <c r="L596" s="37">
        <v>41.13</v>
      </c>
      <c r="M596" s="37">
        <v>66254.75</v>
      </c>
      <c r="N596" s="38">
        <v>5.23</v>
      </c>
    </row>
    <row r="597" spans="1:14" x14ac:dyDescent="0.3">
      <c r="A597" s="33">
        <v>45600</v>
      </c>
      <c r="B597" s="34" t="s">
        <v>64</v>
      </c>
      <c r="C597" s="34" t="s">
        <v>75</v>
      </c>
      <c r="D597" s="34" t="s">
        <v>62</v>
      </c>
      <c r="E597" s="34" t="s">
        <v>63</v>
      </c>
      <c r="F597" s="35">
        <v>46190</v>
      </c>
      <c r="G597" s="35">
        <v>3030</v>
      </c>
      <c r="H597" s="36">
        <v>6.5600000000000006E-2</v>
      </c>
      <c r="I597" s="37">
        <v>0.42</v>
      </c>
      <c r="J597" s="37">
        <v>1272.5999999999999</v>
      </c>
      <c r="K597" s="35">
        <v>183</v>
      </c>
      <c r="L597" s="37">
        <v>6.95</v>
      </c>
      <c r="M597" s="37">
        <v>38945.83</v>
      </c>
      <c r="N597" s="38">
        <v>30.6</v>
      </c>
    </row>
    <row r="598" spans="1:14" x14ac:dyDescent="0.3">
      <c r="A598" s="33">
        <v>45594</v>
      </c>
      <c r="B598" s="34" t="s">
        <v>74</v>
      </c>
      <c r="C598" s="34" t="s">
        <v>75</v>
      </c>
      <c r="D598" s="34" t="s">
        <v>68</v>
      </c>
      <c r="E598" s="34" t="s">
        <v>78</v>
      </c>
      <c r="F598" s="35">
        <v>152996</v>
      </c>
      <c r="G598" s="35">
        <v>3136</v>
      </c>
      <c r="H598" s="36">
        <v>2.0500000000000001E-2</v>
      </c>
      <c r="I598" s="37">
        <v>1.79</v>
      </c>
      <c r="J598" s="37">
        <v>5613.44</v>
      </c>
      <c r="K598" s="35">
        <v>82</v>
      </c>
      <c r="L598" s="37">
        <v>68.459999999999994</v>
      </c>
      <c r="M598" s="37">
        <v>6472.17</v>
      </c>
      <c r="N598" s="38">
        <v>1.1499999999999999</v>
      </c>
    </row>
    <row r="599" spans="1:14" x14ac:dyDescent="0.3">
      <c r="A599" s="33">
        <v>45446</v>
      </c>
      <c r="B599" s="34" t="s">
        <v>64</v>
      </c>
      <c r="C599" s="34" t="s">
        <v>70</v>
      </c>
      <c r="D599" s="34" t="s">
        <v>76</v>
      </c>
      <c r="E599" s="34" t="s">
        <v>63</v>
      </c>
      <c r="F599" s="35">
        <v>62600</v>
      </c>
      <c r="G599" s="35">
        <v>3142</v>
      </c>
      <c r="H599" s="36">
        <v>5.0200000000000002E-2</v>
      </c>
      <c r="I599" s="37">
        <v>0.71</v>
      </c>
      <c r="J599" s="37">
        <v>2230.8200000000002</v>
      </c>
      <c r="K599" s="35">
        <v>245</v>
      </c>
      <c r="L599" s="37">
        <v>9.11</v>
      </c>
      <c r="M599" s="37">
        <v>17495.080000000002</v>
      </c>
      <c r="N599" s="38">
        <v>7.84</v>
      </c>
    </row>
    <row r="600" spans="1:14" x14ac:dyDescent="0.3">
      <c r="A600" s="33">
        <v>45351</v>
      </c>
      <c r="B600" s="34" t="s">
        <v>74</v>
      </c>
      <c r="C600" s="34" t="s">
        <v>61</v>
      </c>
      <c r="D600" s="34" t="s">
        <v>76</v>
      </c>
      <c r="E600" s="34" t="s">
        <v>63</v>
      </c>
      <c r="F600" s="35">
        <v>36127</v>
      </c>
      <c r="G600" s="35">
        <v>610</v>
      </c>
      <c r="H600" s="36">
        <v>1.6899999999999998E-2</v>
      </c>
      <c r="I600" s="37">
        <v>1.1100000000000001</v>
      </c>
      <c r="J600" s="37">
        <v>677.1</v>
      </c>
      <c r="K600" s="35">
        <v>45</v>
      </c>
      <c r="L600" s="37">
        <v>15.05</v>
      </c>
      <c r="M600" s="37">
        <v>6906.4</v>
      </c>
      <c r="N600" s="38">
        <v>10.199999999999999</v>
      </c>
    </row>
    <row r="601" spans="1:14" x14ac:dyDescent="0.3">
      <c r="A601" s="33">
        <v>45410</v>
      </c>
      <c r="B601" s="34" t="s">
        <v>64</v>
      </c>
      <c r="C601" s="34" t="s">
        <v>67</v>
      </c>
      <c r="D601" s="34" t="s">
        <v>65</v>
      </c>
      <c r="E601" s="34" t="s">
        <v>77</v>
      </c>
      <c r="F601" s="35">
        <v>110940</v>
      </c>
      <c r="G601" s="35">
        <v>6512</v>
      </c>
      <c r="H601" s="36">
        <v>5.8700000000000002E-2</v>
      </c>
      <c r="I601" s="37">
        <v>1.41</v>
      </c>
      <c r="J601" s="37">
        <v>9181.92</v>
      </c>
      <c r="K601" s="35">
        <v>108</v>
      </c>
      <c r="L601" s="37">
        <v>85.02</v>
      </c>
      <c r="M601" s="37">
        <v>14612.87</v>
      </c>
      <c r="N601" s="38">
        <v>1.59</v>
      </c>
    </row>
    <row r="602" spans="1:14" x14ac:dyDescent="0.3">
      <c r="A602" s="33">
        <v>45383</v>
      </c>
      <c r="B602" s="34" t="s">
        <v>74</v>
      </c>
      <c r="C602" s="34" t="s">
        <v>61</v>
      </c>
      <c r="D602" s="34" t="s">
        <v>76</v>
      </c>
      <c r="E602" s="34" t="s">
        <v>66</v>
      </c>
      <c r="F602" s="35">
        <v>91332</v>
      </c>
      <c r="G602" s="35">
        <v>3762</v>
      </c>
      <c r="H602" s="36">
        <v>4.1200000000000001E-2</v>
      </c>
      <c r="I602" s="37">
        <v>0.65</v>
      </c>
      <c r="J602" s="37">
        <v>2445.3000000000002</v>
      </c>
      <c r="K602" s="35">
        <v>125</v>
      </c>
      <c r="L602" s="37">
        <v>19.559999999999999</v>
      </c>
      <c r="M602" s="37">
        <v>31285.11</v>
      </c>
      <c r="N602" s="38">
        <v>12.79</v>
      </c>
    </row>
    <row r="603" spans="1:14" x14ac:dyDescent="0.3">
      <c r="A603" s="33">
        <v>45531</v>
      </c>
      <c r="B603" s="34" t="s">
        <v>64</v>
      </c>
      <c r="C603" s="34" t="s">
        <v>67</v>
      </c>
      <c r="D603" s="34" t="s">
        <v>65</v>
      </c>
      <c r="E603" s="34" t="s">
        <v>63</v>
      </c>
      <c r="F603" s="35">
        <v>149526</v>
      </c>
      <c r="G603" s="35">
        <v>4321</v>
      </c>
      <c r="H603" s="36">
        <v>2.8899999999999999E-2</v>
      </c>
      <c r="I603" s="37">
        <v>0.78</v>
      </c>
      <c r="J603" s="37">
        <v>3370.38</v>
      </c>
      <c r="K603" s="35">
        <v>120</v>
      </c>
      <c r="L603" s="37">
        <v>28.09</v>
      </c>
      <c r="M603" s="37">
        <v>25118.55</v>
      </c>
      <c r="N603" s="38">
        <v>7.45</v>
      </c>
    </row>
    <row r="604" spans="1:14" x14ac:dyDescent="0.3">
      <c r="A604" s="33">
        <v>45411</v>
      </c>
      <c r="B604" s="34" t="s">
        <v>74</v>
      </c>
      <c r="C604" s="34" t="s">
        <v>61</v>
      </c>
      <c r="D604" s="34" t="s">
        <v>68</v>
      </c>
      <c r="E604" s="34" t="s">
        <v>69</v>
      </c>
      <c r="F604" s="35">
        <v>77746</v>
      </c>
      <c r="G604" s="35">
        <v>2861</v>
      </c>
      <c r="H604" s="36">
        <v>3.6799999999999999E-2</v>
      </c>
      <c r="I604" s="37">
        <v>1.04</v>
      </c>
      <c r="J604" s="37">
        <v>2975.44</v>
      </c>
      <c r="K604" s="35">
        <v>82</v>
      </c>
      <c r="L604" s="37">
        <v>36.29</v>
      </c>
      <c r="M604" s="37">
        <v>21523.93</v>
      </c>
      <c r="N604" s="38">
        <v>7.23</v>
      </c>
    </row>
    <row r="605" spans="1:14" x14ac:dyDescent="0.3">
      <c r="A605" s="33">
        <v>45399</v>
      </c>
      <c r="B605" s="34" t="s">
        <v>60</v>
      </c>
      <c r="C605" s="34" t="s">
        <v>67</v>
      </c>
      <c r="D605" s="34" t="s">
        <v>68</v>
      </c>
      <c r="E605" s="34" t="s">
        <v>66</v>
      </c>
      <c r="F605" s="35">
        <v>105804</v>
      </c>
      <c r="G605" s="35">
        <v>3110</v>
      </c>
      <c r="H605" s="36">
        <v>2.9399999999999999E-2</v>
      </c>
      <c r="I605" s="37">
        <v>0.97</v>
      </c>
      <c r="J605" s="37">
        <v>3016.7</v>
      </c>
      <c r="K605" s="35">
        <v>200</v>
      </c>
      <c r="L605" s="37">
        <v>15.08</v>
      </c>
      <c r="M605" s="37">
        <v>49067.29</v>
      </c>
      <c r="N605" s="38">
        <v>16.27</v>
      </c>
    </row>
    <row r="606" spans="1:14" x14ac:dyDescent="0.3">
      <c r="A606" s="33">
        <v>45550</v>
      </c>
      <c r="B606" s="34" t="s">
        <v>74</v>
      </c>
      <c r="C606" s="34" t="s">
        <v>67</v>
      </c>
      <c r="D606" s="34" t="s">
        <v>62</v>
      </c>
      <c r="E606" s="34" t="s">
        <v>72</v>
      </c>
      <c r="F606" s="35">
        <v>37599</v>
      </c>
      <c r="G606" s="35">
        <v>1225</v>
      </c>
      <c r="H606" s="36">
        <v>3.2599999999999997E-2</v>
      </c>
      <c r="I606" s="37">
        <v>1.3</v>
      </c>
      <c r="J606" s="37">
        <v>1592.5</v>
      </c>
      <c r="K606" s="35">
        <v>73</v>
      </c>
      <c r="L606" s="37">
        <v>21.82</v>
      </c>
      <c r="M606" s="37">
        <v>19164.89</v>
      </c>
      <c r="N606" s="38">
        <v>12.03</v>
      </c>
    </row>
    <row r="607" spans="1:14" x14ac:dyDescent="0.3">
      <c r="A607" s="33">
        <v>45396</v>
      </c>
      <c r="B607" s="34" t="s">
        <v>60</v>
      </c>
      <c r="C607" s="34" t="s">
        <v>70</v>
      </c>
      <c r="D607" s="34" t="s">
        <v>76</v>
      </c>
      <c r="E607" s="34" t="s">
        <v>77</v>
      </c>
      <c r="F607" s="35">
        <v>9791</v>
      </c>
      <c r="G607" s="35">
        <v>519</v>
      </c>
      <c r="H607" s="36">
        <v>5.3100000000000001E-2</v>
      </c>
      <c r="I607" s="37">
        <v>3.95</v>
      </c>
      <c r="J607" s="37">
        <v>2050.0500000000002</v>
      </c>
      <c r="K607" s="35">
        <v>40</v>
      </c>
      <c r="L607" s="37">
        <v>51.25</v>
      </c>
      <c r="M607" s="37">
        <v>2255.2399999999998</v>
      </c>
      <c r="N607" s="38">
        <v>1.1000000000000001</v>
      </c>
    </row>
    <row r="608" spans="1:14" x14ac:dyDescent="0.3">
      <c r="A608" s="33">
        <v>45351</v>
      </c>
      <c r="B608" s="34" t="s">
        <v>60</v>
      </c>
      <c r="C608" s="34" t="s">
        <v>61</v>
      </c>
      <c r="D608" s="34" t="s">
        <v>68</v>
      </c>
      <c r="E608" s="34" t="s">
        <v>69</v>
      </c>
      <c r="F608" s="35">
        <v>34802</v>
      </c>
      <c r="G608" s="35">
        <v>1708</v>
      </c>
      <c r="H608" s="36">
        <v>4.9099999999999998E-2</v>
      </c>
      <c r="I608" s="37">
        <v>2.9</v>
      </c>
      <c r="J608" s="37">
        <v>4953.2</v>
      </c>
      <c r="K608" s="35">
        <v>72</v>
      </c>
      <c r="L608" s="37">
        <v>68.790000000000006</v>
      </c>
      <c r="M608" s="37">
        <v>6827.25</v>
      </c>
      <c r="N608" s="38">
        <v>1.38</v>
      </c>
    </row>
    <row r="609" spans="1:14" x14ac:dyDescent="0.3">
      <c r="A609" s="33">
        <v>45582</v>
      </c>
      <c r="B609" s="34" t="s">
        <v>64</v>
      </c>
      <c r="C609" s="34" t="s">
        <v>75</v>
      </c>
      <c r="D609" s="34" t="s">
        <v>68</v>
      </c>
      <c r="E609" s="34" t="s">
        <v>77</v>
      </c>
      <c r="F609" s="35">
        <v>81394</v>
      </c>
      <c r="G609" s="35">
        <v>5192</v>
      </c>
      <c r="H609" s="36">
        <v>6.3799999999999996E-2</v>
      </c>
      <c r="I609" s="37">
        <v>0.94</v>
      </c>
      <c r="J609" s="37">
        <v>4880.4799999999996</v>
      </c>
      <c r="K609" s="35">
        <v>253</v>
      </c>
      <c r="L609" s="37">
        <v>19.29</v>
      </c>
      <c r="M609" s="37">
        <v>41499.01</v>
      </c>
      <c r="N609" s="38">
        <v>8.5</v>
      </c>
    </row>
    <row r="610" spans="1:14" x14ac:dyDescent="0.3">
      <c r="A610" s="33">
        <v>45541</v>
      </c>
      <c r="B610" s="34" t="s">
        <v>60</v>
      </c>
      <c r="C610" s="34" t="s">
        <v>70</v>
      </c>
      <c r="D610" s="34" t="s">
        <v>76</v>
      </c>
      <c r="E610" s="34" t="s">
        <v>72</v>
      </c>
      <c r="F610" s="35">
        <v>101299</v>
      </c>
      <c r="G610" s="35">
        <v>3504</v>
      </c>
      <c r="H610" s="36">
        <v>3.4599999999999999E-2</v>
      </c>
      <c r="I610" s="37">
        <v>1.8</v>
      </c>
      <c r="J610" s="37">
        <v>6307.2</v>
      </c>
      <c r="K610" s="35">
        <v>250</v>
      </c>
      <c r="L610" s="37">
        <v>25.23</v>
      </c>
      <c r="M610" s="37">
        <v>36776.35</v>
      </c>
      <c r="N610" s="38">
        <v>5.83</v>
      </c>
    </row>
    <row r="611" spans="1:14" x14ac:dyDescent="0.3">
      <c r="A611" s="33">
        <v>45534</v>
      </c>
      <c r="B611" s="34" t="s">
        <v>74</v>
      </c>
      <c r="C611" s="34" t="s">
        <v>67</v>
      </c>
      <c r="D611" s="34" t="s">
        <v>68</v>
      </c>
      <c r="E611" s="34" t="s">
        <v>72</v>
      </c>
      <c r="F611" s="35">
        <v>140431</v>
      </c>
      <c r="G611" s="35">
        <v>1544</v>
      </c>
      <c r="H611" s="36">
        <v>1.0999999999999999E-2</v>
      </c>
      <c r="I611" s="37">
        <v>0.52</v>
      </c>
      <c r="J611" s="37">
        <v>802.88</v>
      </c>
      <c r="K611" s="35">
        <v>74</v>
      </c>
      <c r="L611" s="37">
        <v>10.85</v>
      </c>
      <c r="M611" s="37">
        <v>2904.54</v>
      </c>
      <c r="N611" s="38">
        <v>3.62</v>
      </c>
    </row>
    <row r="612" spans="1:14" x14ac:dyDescent="0.3">
      <c r="A612" s="33">
        <v>45447</v>
      </c>
      <c r="B612" s="34" t="s">
        <v>60</v>
      </c>
      <c r="C612" s="34" t="s">
        <v>67</v>
      </c>
      <c r="D612" s="34" t="s">
        <v>71</v>
      </c>
      <c r="E612" s="34" t="s">
        <v>73</v>
      </c>
      <c r="F612" s="35">
        <v>113368</v>
      </c>
      <c r="G612" s="35">
        <v>5260</v>
      </c>
      <c r="H612" s="36">
        <v>4.6399999999999997E-2</v>
      </c>
      <c r="I612" s="37">
        <v>1.31</v>
      </c>
      <c r="J612" s="37">
        <v>6890.6</v>
      </c>
      <c r="K612" s="35">
        <v>168</v>
      </c>
      <c r="L612" s="37">
        <v>41.02</v>
      </c>
      <c r="M612" s="37">
        <v>8983.58</v>
      </c>
      <c r="N612" s="38">
        <v>1.3</v>
      </c>
    </row>
    <row r="613" spans="1:14" x14ac:dyDescent="0.3">
      <c r="A613" s="33">
        <v>45461</v>
      </c>
      <c r="B613" s="34" t="s">
        <v>60</v>
      </c>
      <c r="C613" s="34" t="s">
        <v>75</v>
      </c>
      <c r="D613" s="34" t="s">
        <v>76</v>
      </c>
      <c r="E613" s="34" t="s">
        <v>72</v>
      </c>
      <c r="F613" s="35">
        <v>89263</v>
      </c>
      <c r="G613" s="35">
        <v>3695</v>
      </c>
      <c r="H613" s="36">
        <v>4.1399999999999999E-2</v>
      </c>
      <c r="I613" s="37">
        <v>1.77</v>
      </c>
      <c r="J613" s="37">
        <v>6540.15</v>
      </c>
      <c r="K613" s="35">
        <v>155</v>
      </c>
      <c r="L613" s="37">
        <v>42.19</v>
      </c>
      <c r="M613" s="37">
        <v>19291.23</v>
      </c>
      <c r="N613" s="38">
        <v>2.95</v>
      </c>
    </row>
    <row r="614" spans="1:14" x14ac:dyDescent="0.3">
      <c r="A614" s="33">
        <v>45505</v>
      </c>
      <c r="B614" s="34" t="s">
        <v>74</v>
      </c>
      <c r="C614" s="34" t="s">
        <v>75</v>
      </c>
      <c r="D614" s="34" t="s">
        <v>76</v>
      </c>
      <c r="E614" s="34" t="s">
        <v>69</v>
      </c>
      <c r="F614" s="35">
        <v>168947</v>
      </c>
      <c r="G614" s="35">
        <v>4510</v>
      </c>
      <c r="H614" s="36">
        <v>2.6700000000000002E-2</v>
      </c>
      <c r="I614" s="37">
        <v>1.94</v>
      </c>
      <c r="J614" s="37">
        <v>8749.4</v>
      </c>
      <c r="K614" s="35">
        <v>179</v>
      </c>
      <c r="L614" s="37">
        <v>48.88</v>
      </c>
      <c r="M614" s="37">
        <v>48341.14</v>
      </c>
      <c r="N614" s="38">
        <v>5.53</v>
      </c>
    </row>
    <row r="615" spans="1:14" x14ac:dyDescent="0.3">
      <c r="A615" s="33">
        <v>45456</v>
      </c>
      <c r="B615" s="34" t="s">
        <v>64</v>
      </c>
      <c r="C615" s="34" t="s">
        <v>61</v>
      </c>
      <c r="D615" s="34" t="s">
        <v>65</v>
      </c>
      <c r="E615" s="34" t="s">
        <v>63</v>
      </c>
      <c r="F615" s="35">
        <v>139511</v>
      </c>
      <c r="G615" s="35">
        <v>8384</v>
      </c>
      <c r="H615" s="36">
        <v>6.0100000000000001E-2</v>
      </c>
      <c r="I615" s="37">
        <v>1.35</v>
      </c>
      <c r="J615" s="37">
        <v>11318.4</v>
      </c>
      <c r="K615" s="35">
        <v>209</v>
      </c>
      <c r="L615" s="37">
        <v>54.16</v>
      </c>
      <c r="M615" s="37">
        <v>26357.3</v>
      </c>
      <c r="N615" s="38">
        <v>2.33</v>
      </c>
    </row>
    <row r="616" spans="1:14" x14ac:dyDescent="0.3">
      <c r="A616" s="33">
        <v>45547</v>
      </c>
      <c r="B616" s="34" t="s">
        <v>60</v>
      </c>
      <c r="C616" s="34" t="s">
        <v>61</v>
      </c>
      <c r="D616" s="34" t="s">
        <v>62</v>
      </c>
      <c r="E616" s="34" t="s">
        <v>66</v>
      </c>
      <c r="F616" s="35">
        <v>25927</v>
      </c>
      <c r="G616" s="35">
        <v>1501</v>
      </c>
      <c r="H616" s="36">
        <v>5.79E-2</v>
      </c>
      <c r="I616" s="37">
        <v>1.01</v>
      </c>
      <c r="J616" s="37">
        <v>1516.01</v>
      </c>
      <c r="K616" s="35">
        <v>44</v>
      </c>
      <c r="L616" s="37">
        <v>34.450000000000003</v>
      </c>
      <c r="M616" s="37">
        <v>4091.03</v>
      </c>
      <c r="N616" s="38">
        <v>2.7</v>
      </c>
    </row>
    <row r="617" spans="1:14" x14ac:dyDescent="0.3">
      <c r="A617" s="33">
        <v>45616</v>
      </c>
      <c r="B617" s="34" t="s">
        <v>74</v>
      </c>
      <c r="C617" s="34" t="s">
        <v>70</v>
      </c>
      <c r="D617" s="34" t="s">
        <v>76</v>
      </c>
      <c r="E617" s="34" t="s">
        <v>72</v>
      </c>
      <c r="F617" s="35">
        <v>165322</v>
      </c>
      <c r="G617" s="35">
        <v>4529</v>
      </c>
      <c r="H617" s="36">
        <v>2.7400000000000001E-2</v>
      </c>
      <c r="I617" s="37">
        <v>1.73</v>
      </c>
      <c r="J617" s="37">
        <v>7835.17</v>
      </c>
      <c r="K617" s="35">
        <v>167</v>
      </c>
      <c r="L617" s="37">
        <v>46.92</v>
      </c>
      <c r="M617" s="37">
        <v>38358.92</v>
      </c>
      <c r="N617" s="38">
        <v>4.9000000000000004</v>
      </c>
    </row>
    <row r="618" spans="1:14" x14ac:dyDescent="0.3">
      <c r="A618" s="33">
        <v>45639</v>
      </c>
      <c r="B618" s="34" t="s">
        <v>74</v>
      </c>
      <c r="C618" s="34" t="s">
        <v>67</v>
      </c>
      <c r="D618" s="34" t="s">
        <v>68</v>
      </c>
      <c r="E618" s="34" t="s">
        <v>77</v>
      </c>
      <c r="F618" s="35">
        <v>149542</v>
      </c>
      <c r="G618" s="35">
        <v>2497</v>
      </c>
      <c r="H618" s="36">
        <v>1.67E-2</v>
      </c>
      <c r="I618" s="37">
        <v>1.04</v>
      </c>
      <c r="J618" s="37">
        <v>2596.88</v>
      </c>
      <c r="K618" s="35">
        <v>70</v>
      </c>
      <c r="L618" s="37">
        <v>37.1</v>
      </c>
      <c r="M618" s="37">
        <v>12612.87</v>
      </c>
      <c r="N618" s="38">
        <v>4.8600000000000003</v>
      </c>
    </row>
    <row r="619" spans="1:14" x14ac:dyDescent="0.3">
      <c r="A619" s="33">
        <v>45552</v>
      </c>
      <c r="B619" s="34" t="s">
        <v>74</v>
      </c>
      <c r="C619" s="34" t="s">
        <v>67</v>
      </c>
      <c r="D619" s="34" t="s">
        <v>68</v>
      </c>
      <c r="E619" s="34" t="s">
        <v>66</v>
      </c>
      <c r="F619" s="35">
        <v>20021</v>
      </c>
      <c r="G619" s="35">
        <v>462</v>
      </c>
      <c r="H619" s="36">
        <v>2.3099999999999999E-2</v>
      </c>
      <c r="I619" s="37">
        <v>1.57</v>
      </c>
      <c r="J619" s="37">
        <v>725.34</v>
      </c>
      <c r="K619" s="35">
        <v>20</v>
      </c>
      <c r="L619" s="37">
        <v>36.270000000000003</v>
      </c>
      <c r="M619" s="37">
        <v>4554.08</v>
      </c>
      <c r="N619" s="38">
        <v>6.28</v>
      </c>
    </row>
    <row r="620" spans="1:14" x14ac:dyDescent="0.3">
      <c r="A620" s="33">
        <v>45307</v>
      </c>
      <c r="B620" s="34" t="s">
        <v>60</v>
      </c>
      <c r="C620" s="34" t="s">
        <v>70</v>
      </c>
      <c r="D620" s="34" t="s">
        <v>71</v>
      </c>
      <c r="E620" s="34" t="s">
        <v>63</v>
      </c>
      <c r="F620" s="35">
        <v>31783</v>
      </c>
      <c r="G620" s="35">
        <v>781</v>
      </c>
      <c r="H620" s="36">
        <v>2.46E-2</v>
      </c>
      <c r="I620" s="37">
        <v>1.1599999999999999</v>
      </c>
      <c r="J620" s="37">
        <v>905.96</v>
      </c>
      <c r="K620" s="35">
        <v>49</v>
      </c>
      <c r="L620" s="37">
        <v>18.489999999999998</v>
      </c>
      <c r="M620" s="37">
        <v>4886.84</v>
      </c>
      <c r="N620" s="38">
        <v>5.39</v>
      </c>
    </row>
    <row r="621" spans="1:14" x14ac:dyDescent="0.3">
      <c r="A621" s="33">
        <v>45305</v>
      </c>
      <c r="B621" s="34" t="s">
        <v>74</v>
      </c>
      <c r="C621" s="34" t="s">
        <v>75</v>
      </c>
      <c r="D621" s="34" t="s">
        <v>65</v>
      </c>
      <c r="E621" s="34" t="s">
        <v>77</v>
      </c>
      <c r="F621" s="35">
        <v>171020</v>
      </c>
      <c r="G621" s="35">
        <v>2616</v>
      </c>
      <c r="H621" s="36">
        <v>1.5299999999999999E-2</v>
      </c>
      <c r="I621" s="37">
        <v>0.44</v>
      </c>
      <c r="J621" s="37">
        <v>1151.04</v>
      </c>
      <c r="K621" s="35">
        <v>41</v>
      </c>
      <c r="L621" s="37">
        <v>28.07</v>
      </c>
      <c r="M621" s="37">
        <v>9636.8799999999992</v>
      </c>
      <c r="N621" s="38">
        <v>8.3699999999999992</v>
      </c>
    </row>
    <row r="622" spans="1:14" x14ac:dyDescent="0.3">
      <c r="A622" s="33">
        <v>45315</v>
      </c>
      <c r="B622" s="34" t="s">
        <v>60</v>
      </c>
      <c r="C622" s="34" t="s">
        <v>70</v>
      </c>
      <c r="D622" s="34" t="s">
        <v>62</v>
      </c>
      <c r="E622" s="34" t="s">
        <v>78</v>
      </c>
      <c r="F622" s="35">
        <v>31325</v>
      </c>
      <c r="G622" s="35">
        <v>858</v>
      </c>
      <c r="H622" s="36">
        <v>2.7400000000000001E-2</v>
      </c>
      <c r="I622" s="37">
        <v>2.12</v>
      </c>
      <c r="J622" s="37">
        <v>1818.96</v>
      </c>
      <c r="K622" s="35">
        <v>43</v>
      </c>
      <c r="L622" s="37">
        <v>42.3</v>
      </c>
      <c r="M622" s="37">
        <v>2004.67</v>
      </c>
      <c r="N622" s="38">
        <v>1.1000000000000001</v>
      </c>
    </row>
    <row r="623" spans="1:14" x14ac:dyDescent="0.3">
      <c r="A623" s="33">
        <v>45656</v>
      </c>
      <c r="B623" s="34" t="s">
        <v>74</v>
      </c>
      <c r="C623" s="34" t="s">
        <v>75</v>
      </c>
      <c r="D623" s="34" t="s">
        <v>71</v>
      </c>
      <c r="E623" s="34" t="s">
        <v>78</v>
      </c>
      <c r="F623" s="35">
        <v>49134</v>
      </c>
      <c r="G623" s="35">
        <v>1026</v>
      </c>
      <c r="H623" s="36">
        <v>2.0899999999999998E-2</v>
      </c>
      <c r="I623" s="37">
        <v>0.8</v>
      </c>
      <c r="J623" s="37">
        <v>820.8</v>
      </c>
      <c r="K623" s="35">
        <v>16</v>
      </c>
      <c r="L623" s="37">
        <v>51.3</v>
      </c>
      <c r="M623" s="37">
        <v>1025.05</v>
      </c>
      <c r="N623" s="38">
        <v>1.25</v>
      </c>
    </row>
    <row r="624" spans="1:14" x14ac:dyDescent="0.3">
      <c r="A624" s="33">
        <v>45412</v>
      </c>
      <c r="B624" s="34" t="s">
        <v>60</v>
      </c>
      <c r="C624" s="34" t="s">
        <v>75</v>
      </c>
      <c r="D624" s="34" t="s">
        <v>71</v>
      </c>
      <c r="E624" s="34" t="s">
        <v>77</v>
      </c>
      <c r="F624" s="35">
        <v>114599</v>
      </c>
      <c r="G624" s="35">
        <v>2028</v>
      </c>
      <c r="H624" s="36">
        <v>1.77E-2</v>
      </c>
      <c r="I624" s="37">
        <v>2.4300000000000002</v>
      </c>
      <c r="J624" s="37">
        <v>4928.04</v>
      </c>
      <c r="K624" s="35">
        <v>29</v>
      </c>
      <c r="L624" s="37">
        <v>169.93</v>
      </c>
      <c r="M624" s="37">
        <v>5366.72</v>
      </c>
      <c r="N624" s="38">
        <v>1.0900000000000001</v>
      </c>
    </row>
    <row r="625" spans="1:14" x14ac:dyDescent="0.3">
      <c r="A625" s="33">
        <v>45573</v>
      </c>
      <c r="B625" s="34" t="s">
        <v>74</v>
      </c>
      <c r="C625" s="34" t="s">
        <v>67</v>
      </c>
      <c r="D625" s="34" t="s">
        <v>62</v>
      </c>
      <c r="E625" s="34" t="s">
        <v>66</v>
      </c>
      <c r="F625" s="35">
        <v>198581</v>
      </c>
      <c r="G625" s="35">
        <v>1985</v>
      </c>
      <c r="H625" s="36">
        <v>0.01</v>
      </c>
      <c r="I625" s="37">
        <v>1.76</v>
      </c>
      <c r="J625" s="37">
        <v>3493.6</v>
      </c>
      <c r="K625" s="35">
        <v>38</v>
      </c>
      <c r="L625" s="37">
        <v>91.94</v>
      </c>
      <c r="M625" s="37">
        <v>8029.71</v>
      </c>
      <c r="N625" s="38">
        <v>2.2999999999999998</v>
      </c>
    </row>
    <row r="626" spans="1:14" x14ac:dyDescent="0.3">
      <c r="A626" s="33">
        <v>45494</v>
      </c>
      <c r="B626" s="34" t="s">
        <v>60</v>
      </c>
      <c r="C626" s="34" t="s">
        <v>67</v>
      </c>
      <c r="D626" s="34" t="s">
        <v>71</v>
      </c>
      <c r="E626" s="34" t="s">
        <v>73</v>
      </c>
      <c r="F626" s="35">
        <v>157890</v>
      </c>
      <c r="G626" s="35">
        <v>9204</v>
      </c>
      <c r="H626" s="36">
        <v>5.8299999999999998E-2</v>
      </c>
      <c r="I626" s="37">
        <v>3.37</v>
      </c>
      <c r="J626" s="37">
        <v>31017.48</v>
      </c>
      <c r="K626" s="35">
        <v>321</v>
      </c>
      <c r="L626" s="37">
        <v>96.63</v>
      </c>
      <c r="M626" s="37">
        <v>10260.33</v>
      </c>
      <c r="N626" s="38">
        <v>0.33</v>
      </c>
    </row>
    <row r="627" spans="1:14" x14ac:dyDescent="0.3">
      <c r="A627" s="33">
        <v>45386</v>
      </c>
      <c r="B627" s="34" t="s">
        <v>60</v>
      </c>
      <c r="C627" s="34" t="s">
        <v>61</v>
      </c>
      <c r="D627" s="34" t="s">
        <v>65</v>
      </c>
      <c r="E627" s="34" t="s">
        <v>72</v>
      </c>
      <c r="F627" s="35">
        <v>161215</v>
      </c>
      <c r="G627" s="35">
        <v>5948</v>
      </c>
      <c r="H627" s="36">
        <v>3.6900000000000002E-2</v>
      </c>
      <c r="I627" s="37">
        <v>2.27</v>
      </c>
      <c r="J627" s="37">
        <v>13501.96</v>
      </c>
      <c r="K627" s="35">
        <v>439</v>
      </c>
      <c r="L627" s="37">
        <v>30.76</v>
      </c>
      <c r="M627" s="37">
        <v>105685.25</v>
      </c>
      <c r="N627" s="38">
        <v>7.83</v>
      </c>
    </row>
    <row r="628" spans="1:14" x14ac:dyDescent="0.3">
      <c r="A628" s="33">
        <v>45321</v>
      </c>
      <c r="B628" s="34" t="s">
        <v>64</v>
      </c>
      <c r="C628" s="34" t="s">
        <v>67</v>
      </c>
      <c r="D628" s="34" t="s">
        <v>62</v>
      </c>
      <c r="E628" s="34" t="s">
        <v>77</v>
      </c>
      <c r="F628" s="35">
        <v>48147</v>
      </c>
      <c r="G628" s="35">
        <v>3562</v>
      </c>
      <c r="H628" s="36">
        <v>7.3999999999999996E-2</v>
      </c>
      <c r="I628" s="37">
        <v>0.42</v>
      </c>
      <c r="J628" s="37">
        <v>1496.04</v>
      </c>
      <c r="K628" s="35">
        <v>163</v>
      </c>
      <c r="L628" s="37">
        <v>9.18</v>
      </c>
      <c r="M628" s="37">
        <v>41382.29</v>
      </c>
      <c r="N628" s="38">
        <v>27.66</v>
      </c>
    </row>
    <row r="629" spans="1:14" x14ac:dyDescent="0.3">
      <c r="A629" s="33">
        <v>45386</v>
      </c>
      <c r="B629" s="34" t="s">
        <v>74</v>
      </c>
      <c r="C629" s="34" t="s">
        <v>67</v>
      </c>
      <c r="D629" s="34" t="s">
        <v>65</v>
      </c>
      <c r="E629" s="34" t="s">
        <v>69</v>
      </c>
      <c r="F629" s="35">
        <v>90818</v>
      </c>
      <c r="G629" s="35">
        <v>3287</v>
      </c>
      <c r="H629" s="36">
        <v>3.6200000000000003E-2</v>
      </c>
      <c r="I629" s="37">
        <v>0.8</v>
      </c>
      <c r="J629" s="37">
        <v>2629.6</v>
      </c>
      <c r="K629" s="35">
        <v>123</v>
      </c>
      <c r="L629" s="37">
        <v>21.38</v>
      </c>
      <c r="M629" s="37">
        <v>11242.68</v>
      </c>
      <c r="N629" s="38">
        <v>4.28</v>
      </c>
    </row>
    <row r="630" spans="1:14" x14ac:dyDescent="0.3">
      <c r="A630" s="33">
        <v>45471</v>
      </c>
      <c r="B630" s="34" t="s">
        <v>60</v>
      </c>
      <c r="C630" s="34" t="s">
        <v>67</v>
      </c>
      <c r="D630" s="34" t="s">
        <v>71</v>
      </c>
      <c r="E630" s="34" t="s">
        <v>77</v>
      </c>
      <c r="F630" s="35">
        <v>118415</v>
      </c>
      <c r="G630" s="35">
        <v>6500</v>
      </c>
      <c r="H630" s="36">
        <v>5.4899999999999997E-2</v>
      </c>
      <c r="I630" s="37">
        <v>1.74</v>
      </c>
      <c r="J630" s="37">
        <v>11310</v>
      </c>
      <c r="K630" s="35">
        <v>458</v>
      </c>
      <c r="L630" s="37">
        <v>24.69</v>
      </c>
      <c r="M630" s="37">
        <v>110383.15</v>
      </c>
      <c r="N630" s="38">
        <v>9.76</v>
      </c>
    </row>
    <row r="631" spans="1:14" x14ac:dyDescent="0.3">
      <c r="A631" s="33">
        <v>45609</v>
      </c>
      <c r="B631" s="34" t="s">
        <v>64</v>
      </c>
      <c r="C631" s="34" t="s">
        <v>70</v>
      </c>
      <c r="D631" s="34" t="s">
        <v>71</v>
      </c>
      <c r="E631" s="34" t="s">
        <v>72</v>
      </c>
      <c r="F631" s="35">
        <v>113886</v>
      </c>
      <c r="G631" s="35">
        <v>4965</v>
      </c>
      <c r="H631" s="36">
        <v>4.36E-2</v>
      </c>
      <c r="I631" s="37">
        <v>1.34</v>
      </c>
      <c r="J631" s="37">
        <v>6653.1</v>
      </c>
      <c r="K631" s="35">
        <v>141</v>
      </c>
      <c r="L631" s="37">
        <v>47.19</v>
      </c>
      <c r="M631" s="37">
        <v>24007.439999999999</v>
      </c>
      <c r="N631" s="38">
        <v>3.61</v>
      </c>
    </row>
    <row r="632" spans="1:14" x14ac:dyDescent="0.3">
      <c r="A632" s="33">
        <v>45380</v>
      </c>
      <c r="B632" s="34" t="s">
        <v>74</v>
      </c>
      <c r="C632" s="34" t="s">
        <v>75</v>
      </c>
      <c r="D632" s="34" t="s">
        <v>68</v>
      </c>
      <c r="E632" s="34" t="s">
        <v>69</v>
      </c>
      <c r="F632" s="35">
        <v>113668</v>
      </c>
      <c r="G632" s="35">
        <v>2864</v>
      </c>
      <c r="H632" s="36">
        <v>2.52E-2</v>
      </c>
      <c r="I632" s="37">
        <v>1.57</v>
      </c>
      <c r="J632" s="37">
        <v>4496.4799999999996</v>
      </c>
      <c r="K632" s="35">
        <v>81</v>
      </c>
      <c r="L632" s="37">
        <v>55.51</v>
      </c>
      <c r="M632" s="37">
        <v>6109.21</v>
      </c>
      <c r="N632" s="38">
        <v>1.36</v>
      </c>
    </row>
    <row r="633" spans="1:14" x14ac:dyDescent="0.3">
      <c r="A633" s="33">
        <v>45464</v>
      </c>
      <c r="B633" s="34" t="s">
        <v>74</v>
      </c>
      <c r="C633" s="34" t="s">
        <v>70</v>
      </c>
      <c r="D633" s="34" t="s">
        <v>68</v>
      </c>
      <c r="E633" s="34" t="s">
        <v>78</v>
      </c>
      <c r="F633" s="35">
        <v>76880</v>
      </c>
      <c r="G633" s="35">
        <v>1798</v>
      </c>
      <c r="H633" s="36">
        <v>2.3400000000000001E-2</v>
      </c>
      <c r="I633" s="37">
        <v>1.18</v>
      </c>
      <c r="J633" s="37">
        <v>2121.64</v>
      </c>
      <c r="K633" s="35">
        <v>91</v>
      </c>
      <c r="L633" s="37">
        <v>23.31</v>
      </c>
      <c r="M633" s="37">
        <v>8926.11</v>
      </c>
      <c r="N633" s="38">
        <v>4.21</v>
      </c>
    </row>
    <row r="634" spans="1:14" x14ac:dyDescent="0.3">
      <c r="A634" s="33">
        <v>45563</v>
      </c>
      <c r="B634" s="34" t="s">
        <v>60</v>
      </c>
      <c r="C634" s="34" t="s">
        <v>61</v>
      </c>
      <c r="D634" s="34" t="s">
        <v>65</v>
      </c>
      <c r="E634" s="34" t="s">
        <v>78</v>
      </c>
      <c r="F634" s="35">
        <v>138438</v>
      </c>
      <c r="G634" s="35">
        <v>4734</v>
      </c>
      <c r="H634" s="36">
        <v>3.4200000000000001E-2</v>
      </c>
      <c r="I634" s="37">
        <v>3.54</v>
      </c>
      <c r="J634" s="37">
        <v>16758.36</v>
      </c>
      <c r="K634" s="35">
        <v>191</v>
      </c>
      <c r="L634" s="37">
        <v>87.74</v>
      </c>
      <c r="M634" s="37">
        <v>38220.879999999997</v>
      </c>
      <c r="N634" s="38">
        <v>2.2799999999999998</v>
      </c>
    </row>
    <row r="635" spans="1:14" x14ac:dyDescent="0.3">
      <c r="A635" s="33">
        <v>45606</v>
      </c>
      <c r="B635" s="34" t="s">
        <v>60</v>
      </c>
      <c r="C635" s="34" t="s">
        <v>61</v>
      </c>
      <c r="D635" s="34" t="s">
        <v>76</v>
      </c>
      <c r="E635" s="34" t="s">
        <v>72</v>
      </c>
      <c r="F635" s="35">
        <v>34764</v>
      </c>
      <c r="G635" s="35">
        <v>1251</v>
      </c>
      <c r="H635" s="36">
        <v>3.5999999999999997E-2</v>
      </c>
      <c r="I635" s="37">
        <v>0.83</v>
      </c>
      <c r="J635" s="37">
        <v>1038.33</v>
      </c>
      <c r="K635" s="35">
        <v>83</v>
      </c>
      <c r="L635" s="37">
        <v>12.51</v>
      </c>
      <c r="M635" s="37">
        <v>3361.16</v>
      </c>
      <c r="N635" s="38">
        <v>3.24</v>
      </c>
    </row>
    <row r="636" spans="1:14" x14ac:dyDescent="0.3">
      <c r="A636" s="33">
        <v>45378</v>
      </c>
      <c r="B636" s="34" t="s">
        <v>74</v>
      </c>
      <c r="C636" s="34" t="s">
        <v>67</v>
      </c>
      <c r="D636" s="34" t="s">
        <v>62</v>
      </c>
      <c r="E636" s="34" t="s">
        <v>73</v>
      </c>
      <c r="F636" s="35">
        <v>61387</v>
      </c>
      <c r="G636" s="35">
        <v>1608</v>
      </c>
      <c r="H636" s="36">
        <v>2.6200000000000001E-2</v>
      </c>
      <c r="I636" s="37">
        <v>2.09</v>
      </c>
      <c r="J636" s="37">
        <v>3360.72</v>
      </c>
      <c r="K636" s="35">
        <v>96</v>
      </c>
      <c r="L636" s="37">
        <v>35.01</v>
      </c>
      <c r="M636" s="37">
        <v>12312.27</v>
      </c>
      <c r="N636" s="38">
        <v>3.66</v>
      </c>
    </row>
    <row r="637" spans="1:14" x14ac:dyDescent="0.3">
      <c r="A637" s="33">
        <v>45597</v>
      </c>
      <c r="B637" s="34" t="s">
        <v>64</v>
      </c>
      <c r="C637" s="34" t="s">
        <v>70</v>
      </c>
      <c r="D637" s="34" t="s">
        <v>71</v>
      </c>
      <c r="E637" s="34" t="s">
        <v>63</v>
      </c>
      <c r="F637" s="35">
        <v>139607</v>
      </c>
      <c r="G637" s="35">
        <v>10289</v>
      </c>
      <c r="H637" s="36">
        <v>7.3700000000000002E-2</v>
      </c>
      <c r="I637" s="37">
        <v>0.91</v>
      </c>
      <c r="J637" s="37">
        <v>9362.99</v>
      </c>
      <c r="K637" s="35">
        <v>580</v>
      </c>
      <c r="L637" s="37">
        <v>16.14</v>
      </c>
      <c r="M637" s="37">
        <v>94107.07</v>
      </c>
      <c r="N637" s="38">
        <v>10.050000000000001</v>
      </c>
    </row>
    <row r="638" spans="1:14" x14ac:dyDescent="0.3">
      <c r="A638" s="33">
        <v>45325</v>
      </c>
      <c r="B638" s="34" t="s">
        <v>74</v>
      </c>
      <c r="C638" s="34" t="s">
        <v>70</v>
      </c>
      <c r="D638" s="34" t="s">
        <v>65</v>
      </c>
      <c r="E638" s="34" t="s">
        <v>66</v>
      </c>
      <c r="F638" s="35">
        <v>48271</v>
      </c>
      <c r="G638" s="35">
        <v>1182</v>
      </c>
      <c r="H638" s="36">
        <v>2.4500000000000001E-2</v>
      </c>
      <c r="I638" s="37">
        <v>1.94</v>
      </c>
      <c r="J638" s="37">
        <v>2293.08</v>
      </c>
      <c r="K638" s="35">
        <v>30</v>
      </c>
      <c r="L638" s="37">
        <v>76.44</v>
      </c>
      <c r="M638" s="37">
        <v>2529.5</v>
      </c>
      <c r="N638" s="38">
        <v>1.1000000000000001</v>
      </c>
    </row>
    <row r="639" spans="1:14" x14ac:dyDescent="0.3">
      <c r="A639" s="33">
        <v>45617</v>
      </c>
      <c r="B639" s="34" t="s">
        <v>64</v>
      </c>
      <c r="C639" s="34" t="s">
        <v>61</v>
      </c>
      <c r="D639" s="34" t="s">
        <v>65</v>
      </c>
      <c r="E639" s="34" t="s">
        <v>78</v>
      </c>
      <c r="F639" s="35">
        <v>181833</v>
      </c>
      <c r="G639" s="35">
        <v>10018</v>
      </c>
      <c r="H639" s="36">
        <v>5.5100000000000003E-2</v>
      </c>
      <c r="I639" s="37">
        <v>0.48</v>
      </c>
      <c r="J639" s="37">
        <v>4808.6400000000003</v>
      </c>
      <c r="K639" s="35">
        <v>686</v>
      </c>
      <c r="L639" s="37">
        <v>7.01</v>
      </c>
      <c r="M639" s="37">
        <v>153650.81</v>
      </c>
      <c r="N639" s="38">
        <v>31.95</v>
      </c>
    </row>
    <row r="640" spans="1:14" x14ac:dyDescent="0.3">
      <c r="A640" s="33">
        <v>45432</v>
      </c>
      <c r="B640" s="34" t="s">
        <v>74</v>
      </c>
      <c r="C640" s="34" t="s">
        <v>67</v>
      </c>
      <c r="D640" s="34" t="s">
        <v>76</v>
      </c>
      <c r="E640" s="34" t="s">
        <v>69</v>
      </c>
      <c r="F640" s="35">
        <v>83678</v>
      </c>
      <c r="G640" s="35">
        <v>2761</v>
      </c>
      <c r="H640" s="36">
        <v>3.3000000000000002E-2</v>
      </c>
      <c r="I640" s="37">
        <v>1.66</v>
      </c>
      <c r="J640" s="37">
        <v>4583.26</v>
      </c>
      <c r="K640" s="35">
        <v>35</v>
      </c>
      <c r="L640" s="37">
        <v>130.94999999999999</v>
      </c>
      <c r="M640" s="37">
        <v>4630.4799999999996</v>
      </c>
      <c r="N640" s="38">
        <v>1.01</v>
      </c>
    </row>
    <row r="641" spans="1:14" x14ac:dyDescent="0.3">
      <c r="A641" s="33">
        <v>45407</v>
      </c>
      <c r="B641" s="34" t="s">
        <v>60</v>
      </c>
      <c r="C641" s="34" t="s">
        <v>61</v>
      </c>
      <c r="D641" s="34" t="s">
        <v>71</v>
      </c>
      <c r="E641" s="34" t="s">
        <v>78</v>
      </c>
      <c r="F641" s="35">
        <v>32898</v>
      </c>
      <c r="G641" s="35">
        <v>1743</v>
      </c>
      <c r="H641" s="36">
        <v>5.2999999999999999E-2</v>
      </c>
      <c r="I641" s="37">
        <v>1.17</v>
      </c>
      <c r="J641" s="37">
        <v>2039.31</v>
      </c>
      <c r="K641" s="35">
        <v>130</v>
      </c>
      <c r="L641" s="37">
        <v>15.69</v>
      </c>
      <c r="M641" s="37">
        <v>31968.71</v>
      </c>
      <c r="N641" s="38">
        <v>15.68</v>
      </c>
    </row>
    <row r="642" spans="1:14" x14ac:dyDescent="0.3">
      <c r="A642" s="33">
        <v>45538</v>
      </c>
      <c r="B642" s="34" t="s">
        <v>74</v>
      </c>
      <c r="C642" s="34" t="s">
        <v>61</v>
      </c>
      <c r="D642" s="34" t="s">
        <v>68</v>
      </c>
      <c r="E642" s="34" t="s">
        <v>72</v>
      </c>
      <c r="F642" s="35">
        <v>36153</v>
      </c>
      <c r="G642" s="35">
        <v>882</v>
      </c>
      <c r="H642" s="36">
        <v>2.4400000000000002E-2</v>
      </c>
      <c r="I642" s="37">
        <v>1.68</v>
      </c>
      <c r="J642" s="37">
        <v>1481.76</v>
      </c>
      <c r="K642" s="35">
        <v>62</v>
      </c>
      <c r="L642" s="37">
        <v>23.9</v>
      </c>
      <c r="M642" s="37">
        <v>16744.05</v>
      </c>
      <c r="N642" s="38">
        <v>11.3</v>
      </c>
    </row>
    <row r="643" spans="1:14" x14ac:dyDescent="0.3">
      <c r="A643" s="33">
        <v>45457</v>
      </c>
      <c r="B643" s="34" t="s">
        <v>74</v>
      </c>
      <c r="C643" s="34" t="s">
        <v>61</v>
      </c>
      <c r="D643" s="34" t="s">
        <v>68</v>
      </c>
      <c r="E643" s="34" t="s">
        <v>69</v>
      </c>
      <c r="F643" s="35">
        <v>140372</v>
      </c>
      <c r="G643" s="35">
        <v>4548</v>
      </c>
      <c r="H643" s="36">
        <v>3.2399999999999998E-2</v>
      </c>
      <c r="I643" s="37">
        <v>1.44</v>
      </c>
      <c r="J643" s="37">
        <v>6549.12</v>
      </c>
      <c r="K643" s="35">
        <v>125</v>
      </c>
      <c r="L643" s="37">
        <v>52.39</v>
      </c>
      <c r="M643" s="37">
        <v>23552.19</v>
      </c>
      <c r="N643" s="38">
        <v>3.6</v>
      </c>
    </row>
    <row r="644" spans="1:14" x14ac:dyDescent="0.3">
      <c r="A644" s="33">
        <v>45318</v>
      </c>
      <c r="B644" s="34" t="s">
        <v>64</v>
      </c>
      <c r="C644" s="34" t="s">
        <v>67</v>
      </c>
      <c r="D644" s="34" t="s">
        <v>71</v>
      </c>
      <c r="E644" s="34" t="s">
        <v>63</v>
      </c>
      <c r="F644" s="35">
        <v>196889</v>
      </c>
      <c r="G644" s="35">
        <v>9568</v>
      </c>
      <c r="H644" s="36">
        <v>4.8599999999999997E-2</v>
      </c>
      <c r="I644" s="37">
        <v>0.93</v>
      </c>
      <c r="J644" s="37">
        <v>8898.24</v>
      </c>
      <c r="K644" s="35">
        <v>137</v>
      </c>
      <c r="L644" s="37">
        <v>64.95</v>
      </c>
      <c r="M644" s="37">
        <v>34964.660000000003</v>
      </c>
      <c r="N644" s="38">
        <v>3.93</v>
      </c>
    </row>
    <row r="645" spans="1:14" x14ac:dyDescent="0.3">
      <c r="A645" s="33">
        <v>45333</v>
      </c>
      <c r="B645" s="34" t="s">
        <v>64</v>
      </c>
      <c r="C645" s="34" t="s">
        <v>75</v>
      </c>
      <c r="D645" s="34" t="s">
        <v>65</v>
      </c>
      <c r="E645" s="34" t="s">
        <v>66</v>
      </c>
      <c r="F645" s="35">
        <v>77467</v>
      </c>
      <c r="G645" s="35">
        <v>3300</v>
      </c>
      <c r="H645" s="36">
        <v>4.2599999999999999E-2</v>
      </c>
      <c r="I645" s="37">
        <v>1.01</v>
      </c>
      <c r="J645" s="37">
        <v>3333</v>
      </c>
      <c r="K645" s="35">
        <v>180</v>
      </c>
      <c r="L645" s="37">
        <v>18.52</v>
      </c>
      <c r="M645" s="37">
        <v>42781.66</v>
      </c>
      <c r="N645" s="38">
        <v>12.84</v>
      </c>
    </row>
    <row r="646" spans="1:14" x14ac:dyDescent="0.3">
      <c r="A646" s="33">
        <v>45333</v>
      </c>
      <c r="B646" s="34" t="s">
        <v>60</v>
      </c>
      <c r="C646" s="34" t="s">
        <v>70</v>
      </c>
      <c r="D646" s="34" t="s">
        <v>62</v>
      </c>
      <c r="E646" s="34" t="s">
        <v>63</v>
      </c>
      <c r="F646" s="35">
        <v>29016</v>
      </c>
      <c r="G646" s="35">
        <v>1088</v>
      </c>
      <c r="H646" s="36">
        <v>3.7499999999999999E-2</v>
      </c>
      <c r="I646" s="37">
        <v>2.06</v>
      </c>
      <c r="J646" s="37">
        <v>2241.2800000000002</v>
      </c>
      <c r="K646" s="35">
        <v>56</v>
      </c>
      <c r="L646" s="37">
        <v>40.020000000000003</v>
      </c>
      <c r="M646" s="37">
        <v>9936.27</v>
      </c>
      <c r="N646" s="38">
        <v>4.43</v>
      </c>
    </row>
    <row r="647" spans="1:14" x14ac:dyDescent="0.3">
      <c r="A647" s="33">
        <v>45484</v>
      </c>
      <c r="B647" s="34" t="s">
        <v>74</v>
      </c>
      <c r="C647" s="34" t="s">
        <v>70</v>
      </c>
      <c r="D647" s="34" t="s">
        <v>68</v>
      </c>
      <c r="E647" s="34" t="s">
        <v>73</v>
      </c>
      <c r="F647" s="35">
        <v>117200</v>
      </c>
      <c r="G647" s="35">
        <v>1699</v>
      </c>
      <c r="H647" s="36">
        <v>1.4500000000000001E-2</v>
      </c>
      <c r="I647" s="37">
        <v>1.94</v>
      </c>
      <c r="J647" s="37">
        <v>3296.06</v>
      </c>
      <c r="K647" s="35">
        <v>113</v>
      </c>
      <c r="L647" s="37">
        <v>29.17</v>
      </c>
      <c r="M647" s="37">
        <v>30970.48</v>
      </c>
      <c r="N647" s="38">
        <v>9.4</v>
      </c>
    </row>
    <row r="648" spans="1:14" x14ac:dyDescent="0.3">
      <c r="A648" s="33">
        <v>45417</v>
      </c>
      <c r="B648" s="34" t="s">
        <v>60</v>
      </c>
      <c r="C648" s="34" t="s">
        <v>70</v>
      </c>
      <c r="D648" s="34" t="s">
        <v>71</v>
      </c>
      <c r="E648" s="34" t="s">
        <v>72</v>
      </c>
      <c r="F648" s="35">
        <v>134157</v>
      </c>
      <c r="G648" s="35">
        <v>3407</v>
      </c>
      <c r="H648" s="36">
        <v>2.5399999999999999E-2</v>
      </c>
      <c r="I648" s="37">
        <v>2.41</v>
      </c>
      <c r="J648" s="37">
        <v>8210.8700000000008</v>
      </c>
      <c r="K648" s="35">
        <v>147</v>
      </c>
      <c r="L648" s="37">
        <v>55.86</v>
      </c>
      <c r="M648" s="37">
        <v>41434.67</v>
      </c>
      <c r="N648" s="38">
        <v>5.05</v>
      </c>
    </row>
    <row r="649" spans="1:14" x14ac:dyDescent="0.3">
      <c r="A649" s="33">
        <v>45377</v>
      </c>
      <c r="B649" s="34" t="s">
        <v>60</v>
      </c>
      <c r="C649" s="34" t="s">
        <v>75</v>
      </c>
      <c r="D649" s="34" t="s">
        <v>62</v>
      </c>
      <c r="E649" s="34" t="s">
        <v>77</v>
      </c>
      <c r="F649" s="35">
        <v>161434</v>
      </c>
      <c r="G649" s="35">
        <v>6328</v>
      </c>
      <c r="H649" s="36">
        <v>3.9199999999999999E-2</v>
      </c>
      <c r="I649" s="37">
        <v>0.77</v>
      </c>
      <c r="J649" s="37">
        <v>4872.5600000000004</v>
      </c>
      <c r="K649" s="35">
        <v>263</v>
      </c>
      <c r="L649" s="37">
        <v>18.53</v>
      </c>
      <c r="M649" s="37">
        <v>25426.86</v>
      </c>
      <c r="N649" s="38">
        <v>5.22</v>
      </c>
    </row>
    <row r="650" spans="1:14" x14ac:dyDescent="0.3">
      <c r="A650" s="33">
        <v>45487</v>
      </c>
      <c r="B650" s="34" t="s">
        <v>64</v>
      </c>
      <c r="C650" s="34" t="s">
        <v>70</v>
      </c>
      <c r="D650" s="34" t="s">
        <v>71</v>
      </c>
      <c r="E650" s="34" t="s">
        <v>73</v>
      </c>
      <c r="F650" s="35">
        <v>62888</v>
      </c>
      <c r="G650" s="35">
        <v>3307</v>
      </c>
      <c r="H650" s="36">
        <v>5.2600000000000001E-2</v>
      </c>
      <c r="I650" s="37">
        <v>0.61</v>
      </c>
      <c r="J650" s="37">
        <v>2017.27</v>
      </c>
      <c r="K650" s="35">
        <v>55</v>
      </c>
      <c r="L650" s="37">
        <v>36.68</v>
      </c>
      <c r="M650" s="37">
        <v>12898.32</v>
      </c>
      <c r="N650" s="38">
        <v>6.39</v>
      </c>
    </row>
    <row r="651" spans="1:14" x14ac:dyDescent="0.3">
      <c r="A651" s="33">
        <v>45425</v>
      </c>
      <c r="B651" s="34" t="s">
        <v>60</v>
      </c>
      <c r="C651" s="34" t="s">
        <v>67</v>
      </c>
      <c r="D651" s="34" t="s">
        <v>71</v>
      </c>
      <c r="E651" s="34" t="s">
        <v>73</v>
      </c>
      <c r="F651" s="35">
        <v>108187</v>
      </c>
      <c r="G651" s="35">
        <v>2423</v>
      </c>
      <c r="H651" s="36">
        <v>2.24E-2</v>
      </c>
      <c r="I651" s="37">
        <v>2.67</v>
      </c>
      <c r="J651" s="37">
        <v>6469.41</v>
      </c>
      <c r="K651" s="35">
        <v>179</v>
      </c>
      <c r="L651" s="37">
        <v>36.14</v>
      </c>
      <c r="M651" s="37">
        <v>29012.87</v>
      </c>
      <c r="N651" s="38">
        <v>4.4800000000000004</v>
      </c>
    </row>
    <row r="652" spans="1:14" x14ac:dyDescent="0.3">
      <c r="A652" s="33">
        <v>45523</v>
      </c>
      <c r="B652" s="34" t="s">
        <v>74</v>
      </c>
      <c r="C652" s="34" t="s">
        <v>61</v>
      </c>
      <c r="D652" s="34" t="s">
        <v>76</v>
      </c>
      <c r="E652" s="34" t="s">
        <v>73</v>
      </c>
      <c r="F652" s="35">
        <v>199363</v>
      </c>
      <c r="G652" s="35">
        <v>3847</v>
      </c>
      <c r="H652" s="36">
        <v>1.9300000000000001E-2</v>
      </c>
      <c r="I652" s="37">
        <v>0.9</v>
      </c>
      <c r="J652" s="37">
        <v>3462.3</v>
      </c>
      <c r="K652" s="35">
        <v>73</v>
      </c>
      <c r="L652" s="37">
        <v>47.43</v>
      </c>
      <c r="M652" s="37">
        <v>11133.49</v>
      </c>
      <c r="N652" s="38">
        <v>3.22</v>
      </c>
    </row>
    <row r="653" spans="1:14" x14ac:dyDescent="0.3">
      <c r="A653" s="33">
        <v>45411</v>
      </c>
      <c r="B653" s="34" t="s">
        <v>74</v>
      </c>
      <c r="C653" s="34" t="s">
        <v>67</v>
      </c>
      <c r="D653" s="34" t="s">
        <v>71</v>
      </c>
      <c r="E653" s="34" t="s">
        <v>78</v>
      </c>
      <c r="F653" s="35">
        <v>59160</v>
      </c>
      <c r="G653" s="35">
        <v>958</v>
      </c>
      <c r="H653" s="36">
        <v>1.6199999999999999E-2</v>
      </c>
      <c r="I653" s="37">
        <v>1</v>
      </c>
      <c r="J653" s="37">
        <v>958</v>
      </c>
      <c r="K653" s="35">
        <v>35</v>
      </c>
      <c r="L653" s="37">
        <v>27.37</v>
      </c>
      <c r="M653" s="37">
        <v>7848.99</v>
      </c>
      <c r="N653" s="38">
        <v>8.19</v>
      </c>
    </row>
    <row r="654" spans="1:14" x14ac:dyDescent="0.3">
      <c r="A654" s="33">
        <v>45617</v>
      </c>
      <c r="B654" s="34" t="s">
        <v>60</v>
      </c>
      <c r="C654" s="34" t="s">
        <v>70</v>
      </c>
      <c r="D654" s="34" t="s">
        <v>76</v>
      </c>
      <c r="E654" s="34" t="s">
        <v>78</v>
      </c>
      <c r="F654" s="35">
        <v>78551</v>
      </c>
      <c r="G654" s="35">
        <v>2411</v>
      </c>
      <c r="H654" s="36">
        <v>3.0700000000000002E-2</v>
      </c>
      <c r="I654" s="37">
        <v>3.38</v>
      </c>
      <c r="J654" s="37">
        <v>8149.18</v>
      </c>
      <c r="K654" s="35">
        <v>92</v>
      </c>
      <c r="L654" s="37">
        <v>88.58</v>
      </c>
      <c r="M654" s="37">
        <v>8262.09</v>
      </c>
      <c r="N654" s="38">
        <v>1.01</v>
      </c>
    </row>
    <row r="655" spans="1:14" x14ac:dyDescent="0.3">
      <c r="A655" s="33">
        <v>45568</v>
      </c>
      <c r="B655" s="34" t="s">
        <v>74</v>
      </c>
      <c r="C655" s="34" t="s">
        <v>75</v>
      </c>
      <c r="D655" s="34" t="s">
        <v>71</v>
      </c>
      <c r="E655" s="34" t="s">
        <v>69</v>
      </c>
      <c r="F655" s="35">
        <v>186711</v>
      </c>
      <c r="G655" s="35">
        <v>7748</v>
      </c>
      <c r="H655" s="36">
        <v>4.1500000000000002E-2</v>
      </c>
      <c r="I655" s="37">
        <v>0.57999999999999996</v>
      </c>
      <c r="J655" s="37">
        <v>4493.84</v>
      </c>
      <c r="K655" s="35">
        <v>536</v>
      </c>
      <c r="L655" s="37">
        <v>8.3800000000000008</v>
      </c>
      <c r="M655" s="37">
        <v>89187.58</v>
      </c>
      <c r="N655" s="38">
        <v>19.850000000000001</v>
      </c>
    </row>
    <row r="656" spans="1:14" x14ac:dyDescent="0.3">
      <c r="A656" s="33">
        <v>45569</v>
      </c>
      <c r="B656" s="34" t="s">
        <v>74</v>
      </c>
      <c r="C656" s="34" t="s">
        <v>70</v>
      </c>
      <c r="D656" s="34" t="s">
        <v>71</v>
      </c>
      <c r="E656" s="34" t="s">
        <v>66</v>
      </c>
      <c r="F656" s="35">
        <v>5528</v>
      </c>
      <c r="G656" s="35">
        <v>108</v>
      </c>
      <c r="H656" s="36">
        <v>1.9599999999999999E-2</v>
      </c>
      <c r="I656" s="37">
        <v>2.02</v>
      </c>
      <c r="J656" s="37">
        <v>218.16</v>
      </c>
      <c r="K656" s="35">
        <v>7</v>
      </c>
      <c r="L656" s="37">
        <v>31.17</v>
      </c>
      <c r="M656" s="37">
        <v>2000.84</v>
      </c>
      <c r="N656" s="38">
        <v>9.17</v>
      </c>
    </row>
    <row r="657" spans="1:14" x14ac:dyDescent="0.3">
      <c r="A657" s="33">
        <v>45633</v>
      </c>
      <c r="B657" s="34" t="s">
        <v>60</v>
      </c>
      <c r="C657" s="34" t="s">
        <v>70</v>
      </c>
      <c r="D657" s="34" t="s">
        <v>71</v>
      </c>
      <c r="E657" s="34" t="s">
        <v>73</v>
      </c>
      <c r="F657" s="35">
        <v>144535</v>
      </c>
      <c r="G657" s="35">
        <v>7588</v>
      </c>
      <c r="H657" s="36">
        <v>5.2499999999999998E-2</v>
      </c>
      <c r="I657" s="37">
        <v>3.1</v>
      </c>
      <c r="J657" s="37">
        <v>23522.799999999999</v>
      </c>
      <c r="K657" s="35">
        <v>445</v>
      </c>
      <c r="L657" s="37">
        <v>52.86</v>
      </c>
      <c r="M657" s="37">
        <v>105358.98</v>
      </c>
      <c r="N657" s="38">
        <v>4.4800000000000004</v>
      </c>
    </row>
    <row r="658" spans="1:14" x14ac:dyDescent="0.3">
      <c r="A658" s="33">
        <v>45512</v>
      </c>
      <c r="B658" s="34" t="s">
        <v>74</v>
      </c>
      <c r="C658" s="34" t="s">
        <v>61</v>
      </c>
      <c r="D658" s="34" t="s">
        <v>76</v>
      </c>
      <c r="E658" s="34" t="s">
        <v>63</v>
      </c>
      <c r="F658" s="35">
        <v>8188</v>
      </c>
      <c r="G658" s="35">
        <v>272</v>
      </c>
      <c r="H658" s="36">
        <v>3.3300000000000003E-2</v>
      </c>
      <c r="I658" s="37">
        <v>1.1599999999999999</v>
      </c>
      <c r="J658" s="37">
        <v>315.52</v>
      </c>
      <c r="K658" s="35">
        <v>14</v>
      </c>
      <c r="L658" s="37">
        <v>22.54</v>
      </c>
      <c r="M658" s="37">
        <v>3745.84</v>
      </c>
      <c r="N658" s="38">
        <v>11.87</v>
      </c>
    </row>
    <row r="659" spans="1:14" x14ac:dyDescent="0.3">
      <c r="A659" s="33">
        <v>45509</v>
      </c>
      <c r="B659" s="34" t="s">
        <v>60</v>
      </c>
      <c r="C659" s="34" t="s">
        <v>75</v>
      </c>
      <c r="D659" s="34" t="s">
        <v>62</v>
      </c>
      <c r="E659" s="34" t="s">
        <v>73</v>
      </c>
      <c r="F659" s="35">
        <v>71151</v>
      </c>
      <c r="G659" s="35">
        <v>4368</v>
      </c>
      <c r="H659" s="36">
        <v>6.1400000000000003E-2</v>
      </c>
      <c r="I659" s="37">
        <v>3.23</v>
      </c>
      <c r="J659" s="37">
        <v>14108.64</v>
      </c>
      <c r="K659" s="35">
        <v>202</v>
      </c>
      <c r="L659" s="37">
        <v>69.84</v>
      </c>
      <c r="M659" s="37">
        <v>51341.85</v>
      </c>
      <c r="N659" s="38">
        <v>3.64</v>
      </c>
    </row>
    <row r="660" spans="1:14" x14ac:dyDescent="0.3">
      <c r="A660" s="33">
        <v>45357</v>
      </c>
      <c r="B660" s="34" t="s">
        <v>74</v>
      </c>
      <c r="C660" s="34" t="s">
        <v>70</v>
      </c>
      <c r="D660" s="34" t="s">
        <v>65</v>
      </c>
      <c r="E660" s="34" t="s">
        <v>72</v>
      </c>
      <c r="F660" s="35">
        <v>171797</v>
      </c>
      <c r="G660" s="35">
        <v>5153</v>
      </c>
      <c r="H660" s="36">
        <v>0.03</v>
      </c>
      <c r="I660" s="37">
        <v>0.54</v>
      </c>
      <c r="J660" s="37">
        <v>2782.62</v>
      </c>
      <c r="K660" s="35">
        <v>255</v>
      </c>
      <c r="L660" s="37">
        <v>10.91</v>
      </c>
      <c r="M660" s="37">
        <v>52673.17</v>
      </c>
      <c r="N660" s="38">
        <v>18.93</v>
      </c>
    </row>
    <row r="661" spans="1:14" x14ac:dyDescent="0.3">
      <c r="A661" s="33">
        <v>45340</v>
      </c>
      <c r="B661" s="34" t="s">
        <v>64</v>
      </c>
      <c r="C661" s="34" t="s">
        <v>61</v>
      </c>
      <c r="D661" s="34" t="s">
        <v>65</v>
      </c>
      <c r="E661" s="34" t="s">
        <v>78</v>
      </c>
      <c r="F661" s="35">
        <v>173050</v>
      </c>
      <c r="G661" s="35">
        <v>8565</v>
      </c>
      <c r="H661" s="36">
        <v>4.9500000000000002E-2</v>
      </c>
      <c r="I661" s="37">
        <v>0.69</v>
      </c>
      <c r="J661" s="37">
        <v>5909.85</v>
      </c>
      <c r="K661" s="35">
        <v>414</v>
      </c>
      <c r="L661" s="37">
        <v>14.28</v>
      </c>
      <c r="M661" s="37">
        <v>118511.79</v>
      </c>
      <c r="N661" s="38">
        <v>20.05</v>
      </c>
    </row>
    <row r="662" spans="1:14" x14ac:dyDescent="0.3">
      <c r="A662" s="33">
        <v>45539</v>
      </c>
      <c r="B662" s="34" t="s">
        <v>64</v>
      </c>
      <c r="C662" s="34" t="s">
        <v>67</v>
      </c>
      <c r="D662" s="34" t="s">
        <v>76</v>
      </c>
      <c r="E662" s="34" t="s">
        <v>73</v>
      </c>
      <c r="F662" s="35">
        <v>178269</v>
      </c>
      <c r="G662" s="35">
        <v>8646</v>
      </c>
      <c r="H662" s="36">
        <v>4.8500000000000001E-2</v>
      </c>
      <c r="I662" s="37">
        <v>0.63</v>
      </c>
      <c r="J662" s="37">
        <v>5446.98</v>
      </c>
      <c r="K662" s="35">
        <v>93</v>
      </c>
      <c r="L662" s="37">
        <v>58.57</v>
      </c>
      <c r="M662" s="37">
        <v>10627.54</v>
      </c>
      <c r="N662" s="38">
        <v>1.95</v>
      </c>
    </row>
    <row r="663" spans="1:14" x14ac:dyDescent="0.3">
      <c r="A663" s="33">
        <v>45647</v>
      </c>
      <c r="B663" s="34" t="s">
        <v>60</v>
      </c>
      <c r="C663" s="34" t="s">
        <v>75</v>
      </c>
      <c r="D663" s="34" t="s">
        <v>76</v>
      </c>
      <c r="E663" s="34" t="s">
        <v>63</v>
      </c>
      <c r="F663" s="35">
        <v>164028</v>
      </c>
      <c r="G663" s="35">
        <v>5905</v>
      </c>
      <c r="H663" s="36">
        <v>3.5999999999999997E-2</v>
      </c>
      <c r="I663" s="37">
        <v>1</v>
      </c>
      <c r="J663" s="37">
        <v>5905</v>
      </c>
      <c r="K663" s="35">
        <v>377</v>
      </c>
      <c r="L663" s="37">
        <v>15.66</v>
      </c>
      <c r="M663" s="37">
        <v>25718.59</v>
      </c>
      <c r="N663" s="38">
        <v>4.3600000000000003</v>
      </c>
    </row>
    <row r="664" spans="1:14" x14ac:dyDescent="0.3">
      <c r="A664" s="33">
        <v>45323</v>
      </c>
      <c r="B664" s="34" t="s">
        <v>64</v>
      </c>
      <c r="C664" s="34" t="s">
        <v>67</v>
      </c>
      <c r="D664" s="34" t="s">
        <v>68</v>
      </c>
      <c r="E664" s="34" t="s">
        <v>78</v>
      </c>
      <c r="F664" s="35">
        <v>184504</v>
      </c>
      <c r="G664" s="35">
        <v>15479</v>
      </c>
      <c r="H664" s="36">
        <v>8.3900000000000002E-2</v>
      </c>
      <c r="I664" s="37">
        <v>0.8</v>
      </c>
      <c r="J664" s="37">
        <v>12383.2</v>
      </c>
      <c r="K664" s="35">
        <v>538</v>
      </c>
      <c r="L664" s="37">
        <v>23.02</v>
      </c>
      <c r="M664" s="37">
        <v>112251.74</v>
      </c>
      <c r="N664" s="38">
        <v>9.06</v>
      </c>
    </row>
    <row r="665" spans="1:14" x14ac:dyDescent="0.3">
      <c r="A665" s="33">
        <v>45584</v>
      </c>
      <c r="B665" s="34" t="s">
        <v>64</v>
      </c>
      <c r="C665" s="34" t="s">
        <v>70</v>
      </c>
      <c r="D665" s="34" t="s">
        <v>68</v>
      </c>
      <c r="E665" s="34" t="s">
        <v>77</v>
      </c>
      <c r="F665" s="35">
        <v>119515</v>
      </c>
      <c r="G665" s="35">
        <v>6824</v>
      </c>
      <c r="H665" s="36">
        <v>5.7099999999999998E-2</v>
      </c>
      <c r="I665" s="37">
        <v>0.86</v>
      </c>
      <c r="J665" s="37">
        <v>5868.64</v>
      </c>
      <c r="K665" s="35">
        <v>89</v>
      </c>
      <c r="L665" s="37">
        <v>65.94</v>
      </c>
      <c r="M665" s="37">
        <v>25992.880000000001</v>
      </c>
      <c r="N665" s="38">
        <v>4.43</v>
      </c>
    </row>
    <row r="666" spans="1:14" x14ac:dyDescent="0.3">
      <c r="A666" s="33">
        <v>45583</v>
      </c>
      <c r="B666" s="34" t="s">
        <v>74</v>
      </c>
      <c r="C666" s="34" t="s">
        <v>61</v>
      </c>
      <c r="D666" s="34" t="s">
        <v>65</v>
      </c>
      <c r="E666" s="34" t="s">
        <v>69</v>
      </c>
      <c r="F666" s="35">
        <v>108591</v>
      </c>
      <c r="G666" s="35">
        <v>2084</v>
      </c>
      <c r="H666" s="36">
        <v>1.9199999999999998E-2</v>
      </c>
      <c r="I666" s="37">
        <v>2.16</v>
      </c>
      <c r="J666" s="37">
        <v>4501.4399999999996</v>
      </c>
      <c r="K666" s="35">
        <v>31</v>
      </c>
      <c r="L666" s="37">
        <v>145.21</v>
      </c>
      <c r="M666" s="37">
        <v>6469.19</v>
      </c>
      <c r="N666" s="38">
        <v>1.44</v>
      </c>
    </row>
    <row r="667" spans="1:14" x14ac:dyDescent="0.3">
      <c r="A667" s="33">
        <v>45423</v>
      </c>
      <c r="B667" s="34" t="s">
        <v>74</v>
      </c>
      <c r="C667" s="34" t="s">
        <v>70</v>
      </c>
      <c r="D667" s="34" t="s">
        <v>65</v>
      </c>
      <c r="E667" s="34" t="s">
        <v>66</v>
      </c>
      <c r="F667" s="35">
        <v>68472</v>
      </c>
      <c r="G667" s="35">
        <v>2601</v>
      </c>
      <c r="H667" s="36">
        <v>3.7999999999999999E-2</v>
      </c>
      <c r="I667" s="37">
        <v>1.38</v>
      </c>
      <c r="J667" s="37">
        <v>3589.38</v>
      </c>
      <c r="K667" s="35">
        <v>63</v>
      </c>
      <c r="L667" s="37">
        <v>56.97</v>
      </c>
      <c r="M667" s="37">
        <v>17508.47</v>
      </c>
      <c r="N667" s="38">
        <v>4.88</v>
      </c>
    </row>
    <row r="668" spans="1:14" x14ac:dyDescent="0.3">
      <c r="A668" s="33">
        <v>45556</v>
      </c>
      <c r="B668" s="34" t="s">
        <v>64</v>
      </c>
      <c r="C668" s="34" t="s">
        <v>70</v>
      </c>
      <c r="D668" s="34" t="s">
        <v>62</v>
      </c>
      <c r="E668" s="34" t="s">
        <v>69</v>
      </c>
      <c r="F668" s="35">
        <v>170201</v>
      </c>
      <c r="G668" s="35">
        <v>7931</v>
      </c>
      <c r="H668" s="36">
        <v>4.6600000000000003E-2</v>
      </c>
      <c r="I668" s="37">
        <v>1.05</v>
      </c>
      <c r="J668" s="37">
        <v>8327.5499999999993</v>
      </c>
      <c r="K668" s="35">
        <v>182</v>
      </c>
      <c r="L668" s="37">
        <v>45.76</v>
      </c>
      <c r="M668" s="37">
        <v>10360.549999999999</v>
      </c>
      <c r="N668" s="38">
        <v>1.24</v>
      </c>
    </row>
    <row r="669" spans="1:14" x14ac:dyDescent="0.3">
      <c r="A669" s="33">
        <v>45360</v>
      </c>
      <c r="B669" s="34" t="s">
        <v>60</v>
      </c>
      <c r="C669" s="34" t="s">
        <v>67</v>
      </c>
      <c r="D669" s="34" t="s">
        <v>65</v>
      </c>
      <c r="E669" s="34" t="s">
        <v>78</v>
      </c>
      <c r="F669" s="35">
        <v>92340</v>
      </c>
      <c r="G669" s="35">
        <v>2502</v>
      </c>
      <c r="H669" s="36">
        <v>2.7099999999999999E-2</v>
      </c>
      <c r="I669" s="37">
        <v>1.96</v>
      </c>
      <c r="J669" s="37">
        <v>4903.92</v>
      </c>
      <c r="K669" s="35">
        <v>153</v>
      </c>
      <c r="L669" s="37">
        <v>32.049999999999997</v>
      </c>
      <c r="M669" s="37">
        <v>27593.24</v>
      </c>
      <c r="N669" s="38">
        <v>5.63</v>
      </c>
    </row>
    <row r="670" spans="1:14" x14ac:dyDescent="0.3">
      <c r="A670" s="33">
        <v>45393</v>
      </c>
      <c r="B670" s="34" t="s">
        <v>64</v>
      </c>
      <c r="C670" s="34" t="s">
        <v>61</v>
      </c>
      <c r="D670" s="34" t="s">
        <v>71</v>
      </c>
      <c r="E670" s="34" t="s">
        <v>69</v>
      </c>
      <c r="F670" s="35">
        <v>136940</v>
      </c>
      <c r="G670" s="35">
        <v>4683</v>
      </c>
      <c r="H670" s="36">
        <v>3.4200000000000001E-2</v>
      </c>
      <c r="I670" s="37">
        <v>0.69</v>
      </c>
      <c r="J670" s="37">
        <v>3231.27</v>
      </c>
      <c r="K670" s="35">
        <v>137</v>
      </c>
      <c r="L670" s="37">
        <v>23.59</v>
      </c>
      <c r="M670" s="37">
        <v>12153.39</v>
      </c>
      <c r="N670" s="38">
        <v>3.76</v>
      </c>
    </row>
    <row r="671" spans="1:14" x14ac:dyDescent="0.3">
      <c r="A671" s="33">
        <v>45650</v>
      </c>
      <c r="B671" s="34" t="s">
        <v>60</v>
      </c>
      <c r="C671" s="34" t="s">
        <v>61</v>
      </c>
      <c r="D671" s="34" t="s">
        <v>65</v>
      </c>
      <c r="E671" s="34" t="s">
        <v>78</v>
      </c>
      <c r="F671" s="35">
        <v>106311</v>
      </c>
      <c r="G671" s="35">
        <v>5762</v>
      </c>
      <c r="H671" s="36">
        <v>5.4199999999999998E-2</v>
      </c>
      <c r="I671" s="37">
        <v>0.92</v>
      </c>
      <c r="J671" s="37">
        <v>5301.04</v>
      </c>
      <c r="K671" s="35">
        <v>434</v>
      </c>
      <c r="L671" s="37">
        <v>12.21</v>
      </c>
      <c r="M671" s="37">
        <v>55571.88</v>
      </c>
      <c r="N671" s="38">
        <v>10.48</v>
      </c>
    </row>
    <row r="672" spans="1:14" x14ac:dyDescent="0.3">
      <c r="A672" s="33">
        <v>45366</v>
      </c>
      <c r="B672" s="34" t="s">
        <v>64</v>
      </c>
      <c r="C672" s="34" t="s">
        <v>70</v>
      </c>
      <c r="D672" s="34" t="s">
        <v>76</v>
      </c>
      <c r="E672" s="34" t="s">
        <v>73</v>
      </c>
      <c r="F672" s="35">
        <v>120016</v>
      </c>
      <c r="G672" s="35">
        <v>3336</v>
      </c>
      <c r="H672" s="36">
        <v>2.7799999999999998E-2</v>
      </c>
      <c r="I672" s="37">
        <v>1.33</v>
      </c>
      <c r="J672" s="37">
        <v>4436.88</v>
      </c>
      <c r="K672" s="35">
        <v>43</v>
      </c>
      <c r="L672" s="37">
        <v>103.18</v>
      </c>
      <c r="M672" s="37">
        <v>5864.19</v>
      </c>
      <c r="N672" s="38">
        <v>1.32</v>
      </c>
    </row>
    <row r="673" spans="1:14" x14ac:dyDescent="0.3">
      <c r="A673" s="33">
        <v>45587</v>
      </c>
      <c r="B673" s="34" t="s">
        <v>74</v>
      </c>
      <c r="C673" s="34" t="s">
        <v>75</v>
      </c>
      <c r="D673" s="34" t="s">
        <v>71</v>
      </c>
      <c r="E673" s="34" t="s">
        <v>72</v>
      </c>
      <c r="F673" s="35">
        <v>193946</v>
      </c>
      <c r="G673" s="35">
        <v>7854</v>
      </c>
      <c r="H673" s="36">
        <v>4.0500000000000001E-2</v>
      </c>
      <c r="I673" s="37">
        <v>1.89</v>
      </c>
      <c r="J673" s="37">
        <v>14844.06</v>
      </c>
      <c r="K673" s="35">
        <v>461</v>
      </c>
      <c r="L673" s="37">
        <v>32.200000000000003</v>
      </c>
      <c r="M673" s="37">
        <v>86871.54</v>
      </c>
      <c r="N673" s="38">
        <v>5.85</v>
      </c>
    </row>
    <row r="674" spans="1:14" x14ac:dyDescent="0.3">
      <c r="A674" s="33">
        <v>45559</v>
      </c>
      <c r="B674" s="34" t="s">
        <v>64</v>
      </c>
      <c r="C674" s="34" t="s">
        <v>70</v>
      </c>
      <c r="D674" s="34" t="s">
        <v>76</v>
      </c>
      <c r="E674" s="34" t="s">
        <v>78</v>
      </c>
      <c r="F674" s="35">
        <v>138780</v>
      </c>
      <c r="G674" s="35">
        <v>4135</v>
      </c>
      <c r="H674" s="36">
        <v>2.98E-2</v>
      </c>
      <c r="I674" s="37">
        <v>0.85</v>
      </c>
      <c r="J674" s="37">
        <v>3514.75</v>
      </c>
      <c r="K674" s="35">
        <v>86</v>
      </c>
      <c r="L674" s="37">
        <v>40.869999999999997</v>
      </c>
      <c r="M674" s="37">
        <v>7373.66</v>
      </c>
      <c r="N674" s="38">
        <v>2.1</v>
      </c>
    </row>
    <row r="675" spans="1:14" x14ac:dyDescent="0.3">
      <c r="A675" s="33">
        <v>45500</v>
      </c>
      <c r="B675" s="34" t="s">
        <v>74</v>
      </c>
      <c r="C675" s="34" t="s">
        <v>75</v>
      </c>
      <c r="D675" s="34" t="s">
        <v>71</v>
      </c>
      <c r="E675" s="34" t="s">
        <v>66</v>
      </c>
      <c r="F675" s="35">
        <v>51365</v>
      </c>
      <c r="G675" s="35">
        <v>873</v>
      </c>
      <c r="H675" s="36">
        <v>1.7000000000000001E-2</v>
      </c>
      <c r="I675" s="37">
        <v>0.7</v>
      </c>
      <c r="J675" s="37">
        <v>611.1</v>
      </c>
      <c r="K675" s="35">
        <v>19</v>
      </c>
      <c r="L675" s="37">
        <v>32.159999999999997</v>
      </c>
      <c r="M675" s="37">
        <v>2655.69</v>
      </c>
      <c r="N675" s="38">
        <v>4.3499999999999996</v>
      </c>
    </row>
    <row r="676" spans="1:14" x14ac:dyDescent="0.3">
      <c r="A676" s="33">
        <v>45357</v>
      </c>
      <c r="B676" s="34" t="s">
        <v>60</v>
      </c>
      <c r="C676" s="34" t="s">
        <v>70</v>
      </c>
      <c r="D676" s="34" t="s">
        <v>68</v>
      </c>
      <c r="E676" s="34" t="s">
        <v>66</v>
      </c>
      <c r="F676" s="35">
        <v>185903</v>
      </c>
      <c r="G676" s="35">
        <v>4647</v>
      </c>
      <c r="H676" s="36">
        <v>2.5000000000000001E-2</v>
      </c>
      <c r="I676" s="37">
        <v>2.96</v>
      </c>
      <c r="J676" s="37">
        <v>13755.12</v>
      </c>
      <c r="K676" s="35">
        <v>342</v>
      </c>
      <c r="L676" s="37">
        <v>40.22</v>
      </c>
      <c r="M676" s="37">
        <v>58276.63</v>
      </c>
      <c r="N676" s="38">
        <v>4.24</v>
      </c>
    </row>
    <row r="677" spans="1:14" x14ac:dyDescent="0.3">
      <c r="A677" s="33">
        <v>45352</v>
      </c>
      <c r="B677" s="34" t="s">
        <v>64</v>
      </c>
      <c r="C677" s="34" t="s">
        <v>75</v>
      </c>
      <c r="D677" s="34" t="s">
        <v>71</v>
      </c>
      <c r="E677" s="34" t="s">
        <v>78</v>
      </c>
      <c r="F677" s="35">
        <v>61232</v>
      </c>
      <c r="G677" s="35">
        <v>2951</v>
      </c>
      <c r="H677" s="36">
        <v>4.82E-2</v>
      </c>
      <c r="I677" s="37">
        <v>0.75</v>
      </c>
      <c r="J677" s="37">
        <v>2213.25</v>
      </c>
      <c r="K677" s="35">
        <v>51</v>
      </c>
      <c r="L677" s="37">
        <v>43.4</v>
      </c>
      <c r="M677" s="37">
        <v>15061.62</v>
      </c>
      <c r="N677" s="38">
        <v>6.81</v>
      </c>
    </row>
    <row r="678" spans="1:14" x14ac:dyDescent="0.3">
      <c r="A678" s="33">
        <v>45571</v>
      </c>
      <c r="B678" s="34" t="s">
        <v>64</v>
      </c>
      <c r="C678" s="34" t="s">
        <v>75</v>
      </c>
      <c r="D678" s="34" t="s">
        <v>71</v>
      </c>
      <c r="E678" s="34" t="s">
        <v>69</v>
      </c>
      <c r="F678" s="35">
        <v>122286</v>
      </c>
      <c r="G678" s="35">
        <v>7642</v>
      </c>
      <c r="H678" s="36">
        <v>6.25E-2</v>
      </c>
      <c r="I678" s="37">
        <v>1.47</v>
      </c>
      <c r="J678" s="37">
        <v>11233.74</v>
      </c>
      <c r="K678" s="35">
        <v>201</v>
      </c>
      <c r="L678" s="37">
        <v>55.89</v>
      </c>
      <c r="M678" s="37">
        <v>60002.91</v>
      </c>
      <c r="N678" s="38">
        <v>5.34</v>
      </c>
    </row>
    <row r="679" spans="1:14" x14ac:dyDescent="0.3">
      <c r="A679" s="33">
        <v>45357</v>
      </c>
      <c r="B679" s="34" t="s">
        <v>64</v>
      </c>
      <c r="C679" s="34" t="s">
        <v>70</v>
      </c>
      <c r="D679" s="34" t="s">
        <v>68</v>
      </c>
      <c r="E679" s="34" t="s">
        <v>66</v>
      </c>
      <c r="F679" s="35">
        <v>60114</v>
      </c>
      <c r="G679" s="35">
        <v>4917</v>
      </c>
      <c r="H679" s="36">
        <v>8.1799999999999998E-2</v>
      </c>
      <c r="I679" s="37">
        <v>1.35</v>
      </c>
      <c r="J679" s="37">
        <v>6637.95</v>
      </c>
      <c r="K679" s="35">
        <v>279</v>
      </c>
      <c r="L679" s="37">
        <v>23.79</v>
      </c>
      <c r="M679" s="37">
        <v>15410.94</v>
      </c>
      <c r="N679" s="38">
        <v>2.3199999999999998</v>
      </c>
    </row>
    <row r="680" spans="1:14" x14ac:dyDescent="0.3">
      <c r="A680" s="33">
        <v>45326</v>
      </c>
      <c r="B680" s="34" t="s">
        <v>74</v>
      </c>
      <c r="C680" s="34" t="s">
        <v>75</v>
      </c>
      <c r="D680" s="34" t="s">
        <v>68</v>
      </c>
      <c r="E680" s="34" t="s">
        <v>78</v>
      </c>
      <c r="F680" s="35">
        <v>124004</v>
      </c>
      <c r="G680" s="35">
        <v>2083</v>
      </c>
      <c r="H680" s="36">
        <v>1.6799999999999999E-2</v>
      </c>
      <c r="I680" s="37">
        <v>1.51</v>
      </c>
      <c r="J680" s="37">
        <v>3145.33</v>
      </c>
      <c r="K680" s="35">
        <v>49</v>
      </c>
      <c r="L680" s="37">
        <v>64.19</v>
      </c>
      <c r="M680" s="37">
        <v>9959.3700000000008</v>
      </c>
      <c r="N680" s="38">
        <v>3.17</v>
      </c>
    </row>
    <row r="681" spans="1:14" x14ac:dyDescent="0.3">
      <c r="A681" s="33">
        <v>45327</v>
      </c>
      <c r="B681" s="34" t="s">
        <v>64</v>
      </c>
      <c r="C681" s="34" t="s">
        <v>61</v>
      </c>
      <c r="D681" s="34" t="s">
        <v>76</v>
      </c>
      <c r="E681" s="34" t="s">
        <v>66</v>
      </c>
      <c r="F681" s="35">
        <v>168322</v>
      </c>
      <c r="G681" s="35">
        <v>4965</v>
      </c>
      <c r="H681" s="36">
        <v>2.9499999999999998E-2</v>
      </c>
      <c r="I681" s="37">
        <v>0.91</v>
      </c>
      <c r="J681" s="37">
        <v>4518.1499999999996</v>
      </c>
      <c r="K681" s="35">
        <v>228</v>
      </c>
      <c r="L681" s="37">
        <v>19.82</v>
      </c>
      <c r="M681" s="37">
        <v>49052.14</v>
      </c>
      <c r="N681" s="38">
        <v>10.86</v>
      </c>
    </row>
    <row r="682" spans="1:14" x14ac:dyDescent="0.3">
      <c r="A682" s="33">
        <v>45421</v>
      </c>
      <c r="B682" s="34" t="s">
        <v>74</v>
      </c>
      <c r="C682" s="34" t="s">
        <v>75</v>
      </c>
      <c r="D682" s="34" t="s">
        <v>68</v>
      </c>
      <c r="E682" s="34" t="s">
        <v>72</v>
      </c>
      <c r="F682" s="35">
        <v>113957</v>
      </c>
      <c r="G682" s="35">
        <v>3008</v>
      </c>
      <c r="H682" s="36">
        <v>2.64E-2</v>
      </c>
      <c r="I682" s="37">
        <v>2.33</v>
      </c>
      <c r="J682" s="37">
        <v>7008.64</v>
      </c>
      <c r="K682" s="35">
        <v>127</v>
      </c>
      <c r="L682" s="37">
        <v>55.19</v>
      </c>
      <c r="M682" s="37">
        <v>17960.45</v>
      </c>
      <c r="N682" s="38">
        <v>2.56</v>
      </c>
    </row>
    <row r="683" spans="1:14" x14ac:dyDescent="0.3">
      <c r="A683" s="33">
        <v>45326</v>
      </c>
      <c r="B683" s="34" t="s">
        <v>60</v>
      </c>
      <c r="C683" s="34" t="s">
        <v>61</v>
      </c>
      <c r="D683" s="34" t="s">
        <v>71</v>
      </c>
      <c r="E683" s="34" t="s">
        <v>69</v>
      </c>
      <c r="F683" s="35">
        <v>137290</v>
      </c>
      <c r="G683" s="35">
        <v>5011</v>
      </c>
      <c r="H683" s="36">
        <v>3.6499999999999998E-2</v>
      </c>
      <c r="I683" s="37">
        <v>1.56</v>
      </c>
      <c r="J683" s="37">
        <v>7817.16</v>
      </c>
      <c r="K683" s="35">
        <v>323</v>
      </c>
      <c r="L683" s="37">
        <v>24.2</v>
      </c>
      <c r="M683" s="37">
        <v>28440.57</v>
      </c>
      <c r="N683" s="38">
        <v>3.64</v>
      </c>
    </row>
    <row r="684" spans="1:14" x14ac:dyDescent="0.3">
      <c r="A684" s="33">
        <v>45433</v>
      </c>
      <c r="B684" s="34" t="s">
        <v>74</v>
      </c>
      <c r="C684" s="34" t="s">
        <v>67</v>
      </c>
      <c r="D684" s="34" t="s">
        <v>62</v>
      </c>
      <c r="E684" s="34" t="s">
        <v>63</v>
      </c>
      <c r="F684" s="35">
        <v>12253</v>
      </c>
      <c r="G684" s="35">
        <v>468</v>
      </c>
      <c r="H684" s="36">
        <v>3.8199999999999998E-2</v>
      </c>
      <c r="I684" s="37">
        <v>0.77</v>
      </c>
      <c r="J684" s="37">
        <v>360.36</v>
      </c>
      <c r="K684" s="35">
        <v>9</v>
      </c>
      <c r="L684" s="37">
        <v>40.04</v>
      </c>
      <c r="M684" s="37">
        <v>1433.96</v>
      </c>
      <c r="N684" s="38">
        <v>3.98</v>
      </c>
    </row>
    <row r="685" spans="1:14" x14ac:dyDescent="0.3">
      <c r="A685" s="33">
        <v>45647</v>
      </c>
      <c r="B685" s="34" t="s">
        <v>60</v>
      </c>
      <c r="C685" s="34" t="s">
        <v>67</v>
      </c>
      <c r="D685" s="34" t="s">
        <v>65</v>
      </c>
      <c r="E685" s="34" t="s">
        <v>78</v>
      </c>
      <c r="F685" s="35">
        <v>109216</v>
      </c>
      <c r="G685" s="35">
        <v>5777</v>
      </c>
      <c r="H685" s="36">
        <v>5.2900000000000003E-2</v>
      </c>
      <c r="I685" s="37">
        <v>3.06</v>
      </c>
      <c r="J685" s="37">
        <v>17677.62</v>
      </c>
      <c r="K685" s="35">
        <v>140</v>
      </c>
      <c r="L685" s="37">
        <v>126.27</v>
      </c>
      <c r="M685" s="37">
        <v>11237.04</v>
      </c>
      <c r="N685" s="38">
        <v>0.64</v>
      </c>
    </row>
    <row r="686" spans="1:14" x14ac:dyDescent="0.3">
      <c r="A686" s="33">
        <v>45354</v>
      </c>
      <c r="B686" s="34" t="s">
        <v>60</v>
      </c>
      <c r="C686" s="34" t="s">
        <v>70</v>
      </c>
      <c r="D686" s="34" t="s">
        <v>62</v>
      </c>
      <c r="E686" s="34" t="s">
        <v>73</v>
      </c>
      <c r="F686" s="35">
        <v>166215</v>
      </c>
      <c r="G686" s="35">
        <v>9158</v>
      </c>
      <c r="H686" s="36">
        <v>5.5100000000000003E-2</v>
      </c>
      <c r="I686" s="37">
        <v>0.72</v>
      </c>
      <c r="J686" s="37">
        <v>6593.76</v>
      </c>
      <c r="K686" s="35">
        <v>112</v>
      </c>
      <c r="L686" s="37">
        <v>58.87</v>
      </c>
      <c r="M686" s="37">
        <v>29121.09</v>
      </c>
      <c r="N686" s="38">
        <v>4.42</v>
      </c>
    </row>
    <row r="687" spans="1:14" x14ac:dyDescent="0.3">
      <c r="A687" s="33">
        <v>45625</v>
      </c>
      <c r="B687" s="34" t="s">
        <v>74</v>
      </c>
      <c r="C687" s="34" t="s">
        <v>70</v>
      </c>
      <c r="D687" s="34" t="s">
        <v>71</v>
      </c>
      <c r="E687" s="34" t="s">
        <v>77</v>
      </c>
      <c r="F687" s="35">
        <v>140678</v>
      </c>
      <c r="G687" s="35">
        <v>5655</v>
      </c>
      <c r="H687" s="36">
        <v>4.02E-2</v>
      </c>
      <c r="I687" s="37">
        <v>2.0699999999999998</v>
      </c>
      <c r="J687" s="37">
        <v>11705.85</v>
      </c>
      <c r="K687" s="35">
        <v>154</v>
      </c>
      <c r="L687" s="37">
        <v>76.010000000000005</v>
      </c>
      <c r="M687" s="37">
        <v>7932.09</v>
      </c>
      <c r="N687" s="38">
        <v>0.68</v>
      </c>
    </row>
    <row r="688" spans="1:14" x14ac:dyDescent="0.3">
      <c r="A688" s="33">
        <v>45492</v>
      </c>
      <c r="B688" s="34" t="s">
        <v>60</v>
      </c>
      <c r="C688" s="34" t="s">
        <v>61</v>
      </c>
      <c r="D688" s="34" t="s">
        <v>76</v>
      </c>
      <c r="E688" s="34" t="s">
        <v>63</v>
      </c>
      <c r="F688" s="35">
        <v>176066</v>
      </c>
      <c r="G688" s="35">
        <v>5264</v>
      </c>
      <c r="H688" s="36">
        <v>2.9899999999999999E-2</v>
      </c>
      <c r="I688" s="37">
        <v>1.58</v>
      </c>
      <c r="J688" s="37">
        <v>8317.1200000000008</v>
      </c>
      <c r="K688" s="35">
        <v>119</v>
      </c>
      <c r="L688" s="37">
        <v>69.89</v>
      </c>
      <c r="M688" s="37">
        <v>28182.41</v>
      </c>
      <c r="N688" s="38">
        <v>3.39</v>
      </c>
    </row>
    <row r="689" spans="1:14" x14ac:dyDescent="0.3">
      <c r="A689" s="33">
        <v>45411</v>
      </c>
      <c r="B689" s="34" t="s">
        <v>60</v>
      </c>
      <c r="C689" s="34" t="s">
        <v>61</v>
      </c>
      <c r="D689" s="34" t="s">
        <v>68</v>
      </c>
      <c r="E689" s="34" t="s">
        <v>73</v>
      </c>
      <c r="F689" s="35">
        <v>59418</v>
      </c>
      <c r="G689" s="35">
        <v>1996</v>
      </c>
      <c r="H689" s="36">
        <v>3.3599999999999998E-2</v>
      </c>
      <c r="I689" s="37">
        <v>1.65</v>
      </c>
      <c r="J689" s="37">
        <v>3293.4</v>
      </c>
      <c r="K689" s="35">
        <v>80</v>
      </c>
      <c r="L689" s="37">
        <v>41.17</v>
      </c>
      <c r="M689" s="37">
        <v>3528.5</v>
      </c>
      <c r="N689" s="38">
        <v>1.07</v>
      </c>
    </row>
    <row r="690" spans="1:14" x14ac:dyDescent="0.3">
      <c r="A690" s="33">
        <v>45318</v>
      </c>
      <c r="B690" s="34" t="s">
        <v>60</v>
      </c>
      <c r="C690" s="34" t="s">
        <v>61</v>
      </c>
      <c r="D690" s="34" t="s">
        <v>65</v>
      </c>
      <c r="E690" s="34" t="s">
        <v>63</v>
      </c>
      <c r="F690" s="35">
        <v>143183</v>
      </c>
      <c r="G690" s="35">
        <v>5784</v>
      </c>
      <c r="H690" s="36">
        <v>4.0399999999999998E-2</v>
      </c>
      <c r="I690" s="37">
        <v>0.86</v>
      </c>
      <c r="J690" s="37">
        <v>4974.24</v>
      </c>
      <c r="K690" s="35">
        <v>432</v>
      </c>
      <c r="L690" s="37">
        <v>11.51</v>
      </c>
      <c r="M690" s="37">
        <v>88233.11</v>
      </c>
      <c r="N690" s="38">
        <v>17.739999999999998</v>
      </c>
    </row>
    <row r="691" spans="1:14" x14ac:dyDescent="0.3">
      <c r="A691" s="33">
        <v>45492</v>
      </c>
      <c r="B691" s="34" t="s">
        <v>74</v>
      </c>
      <c r="C691" s="34" t="s">
        <v>70</v>
      </c>
      <c r="D691" s="34" t="s">
        <v>76</v>
      </c>
      <c r="E691" s="34" t="s">
        <v>77</v>
      </c>
      <c r="F691" s="35">
        <v>194059</v>
      </c>
      <c r="G691" s="35">
        <v>3434</v>
      </c>
      <c r="H691" s="36">
        <v>1.77E-2</v>
      </c>
      <c r="I691" s="37">
        <v>1.36</v>
      </c>
      <c r="J691" s="37">
        <v>4670.24</v>
      </c>
      <c r="K691" s="35">
        <v>193</v>
      </c>
      <c r="L691" s="37">
        <v>24.2</v>
      </c>
      <c r="M691" s="37">
        <v>7460.79</v>
      </c>
      <c r="N691" s="38">
        <v>1.6</v>
      </c>
    </row>
    <row r="692" spans="1:14" x14ac:dyDescent="0.3">
      <c r="A692" s="33">
        <v>45506</v>
      </c>
      <c r="B692" s="34" t="s">
        <v>60</v>
      </c>
      <c r="C692" s="34" t="s">
        <v>70</v>
      </c>
      <c r="D692" s="34" t="s">
        <v>71</v>
      </c>
      <c r="E692" s="34" t="s">
        <v>63</v>
      </c>
      <c r="F692" s="35">
        <v>98899</v>
      </c>
      <c r="G692" s="35">
        <v>2185</v>
      </c>
      <c r="H692" s="36">
        <v>2.2100000000000002E-2</v>
      </c>
      <c r="I692" s="37">
        <v>3.16</v>
      </c>
      <c r="J692" s="37">
        <v>6904.6</v>
      </c>
      <c r="K692" s="35">
        <v>171</v>
      </c>
      <c r="L692" s="37">
        <v>40.380000000000003</v>
      </c>
      <c r="M692" s="37">
        <v>45859.64</v>
      </c>
      <c r="N692" s="38">
        <v>6.64</v>
      </c>
    </row>
    <row r="693" spans="1:14" x14ac:dyDescent="0.3">
      <c r="A693" s="33">
        <v>45347</v>
      </c>
      <c r="B693" s="34" t="s">
        <v>74</v>
      </c>
      <c r="C693" s="34" t="s">
        <v>61</v>
      </c>
      <c r="D693" s="34" t="s">
        <v>76</v>
      </c>
      <c r="E693" s="34" t="s">
        <v>66</v>
      </c>
      <c r="F693" s="35">
        <v>129494</v>
      </c>
      <c r="G693" s="35">
        <v>1631</v>
      </c>
      <c r="H693" s="36">
        <v>1.26E-2</v>
      </c>
      <c r="I693" s="37">
        <v>2.14</v>
      </c>
      <c r="J693" s="37">
        <v>3490.34</v>
      </c>
      <c r="K693" s="35">
        <v>108</v>
      </c>
      <c r="L693" s="37">
        <v>32.32</v>
      </c>
      <c r="M693" s="37">
        <v>28288.04</v>
      </c>
      <c r="N693" s="38">
        <v>8.1</v>
      </c>
    </row>
    <row r="694" spans="1:14" x14ac:dyDescent="0.3">
      <c r="A694" s="33">
        <v>45354</v>
      </c>
      <c r="B694" s="34" t="s">
        <v>64</v>
      </c>
      <c r="C694" s="34" t="s">
        <v>70</v>
      </c>
      <c r="D694" s="34" t="s">
        <v>71</v>
      </c>
      <c r="E694" s="34" t="s">
        <v>63</v>
      </c>
      <c r="F694" s="35">
        <v>191443</v>
      </c>
      <c r="G694" s="35">
        <v>6872</v>
      </c>
      <c r="H694" s="36">
        <v>3.5900000000000001E-2</v>
      </c>
      <c r="I694" s="37">
        <v>1.67</v>
      </c>
      <c r="J694" s="37">
        <v>11476.24</v>
      </c>
      <c r="K694" s="35">
        <v>422</v>
      </c>
      <c r="L694" s="37">
        <v>27.19</v>
      </c>
      <c r="M694" s="37">
        <v>108198.8</v>
      </c>
      <c r="N694" s="38">
        <v>9.43</v>
      </c>
    </row>
    <row r="695" spans="1:14" x14ac:dyDescent="0.3">
      <c r="A695" s="33">
        <v>45656</v>
      </c>
      <c r="B695" s="34" t="s">
        <v>64</v>
      </c>
      <c r="C695" s="34" t="s">
        <v>61</v>
      </c>
      <c r="D695" s="34" t="s">
        <v>71</v>
      </c>
      <c r="E695" s="34" t="s">
        <v>78</v>
      </c>
      <c r="F695" s="35">
        <v>61950</v>
      </c>
      <c r="G695" s="35">
        <v>4076</v>
      </c>
      <c r="H695" s="36">
        <v>6.5799999999999997E-2</v>
      </c>
      <c r="I695" s="37">
        <v>0.3</v>
      </c>
      <c r="J695" s="37">
        <v>1222.8</v>
      </c>
      <c r="K695" s="35">
        <v>97</v>
      </c>
      <c r="L695" s="37">
        <v>12.61</v>
      </c>
      <c r="M695" s="37">
        <v>26763.8</v>
      </c>
      <c r="N695" s="38">
        <v>21.89</v>
      </c>
    </row>
    <row r="696" spans="1:14" x14ac:dyDescent="0.3">
      <c r="A696" s="33">
        <v>45604</v>
      </c>
      <c r="B696" s="34" t="s">
        <v>60</v>
      </c>
      <c r="C696" s="34" t="s">
        <v>70</v>
      </c>
      <c r="D696" s="34" t="s">
        <v>71</v>
      </c>
      <c r="E696" s="34" t="s">
        <v>66</v>
      </c>
      <c r="F696" s="35">
        <v>34605</v>
      </c>
      <c r="G696" s="35">
        <v>809</v>
      </c>
      <c r="H696" s="36">
        <v>2.3400000000000001E-2</v>
      </c>
      <c r="I696" s="37">
        <v>1.76</v>
      </c>
      <c r="J696" s="37">
        <v>1423.84</v>
      </c>
      <c r="K696" s="35">
        <v>40</v>
      </c>
      <c r="L696" s="37">
        <v>35.6</v>
      </c>
      <c r="M696" s="37">
        <v>5146.88</v>
      </c>
      <c r="N696" s="38">
        <v>3.61</v>
      </c>
    </row>
    <row r="697" spans="1:14" x14ac:dyDescent="0.3">
      <c r="A697" s="33">
        <v>45322</v>
      </c>
      <c r="B697" s="34" t="s">
        <v>64</v>
      </c>
      <c r="C697" s="34" t="s">
        <v>70</v>
      </c>
      <c r="D697" s="34" t="s">
        <v>62</v>
      </c>
      <c r="E697" s="34" t="s">
        <v>63</v>
      </c>
      <c r="F697" s="35">
        <v>127790</v>
      </c>
      <c r="G697" s="35">
        <v>7015</v>
      </c>
      <c r="H697" s="36">
        <v>5.4899999999999997E-2</v>
      </c>
      <c r="I697" s="37">
        <v>1.23</v>
      </c>
      <c r="J697" s="37">
        <v>8628.4500000000007</v>
      </c>
      <c r="K697" s="35">
        <v>422</v>
      </c>
      <c r="L697" s="37">
        <v>20.45</v>
      </c>
      <c r="M697" s="37">
        <v>90118.48</v>
      </c>
      <c r="N697" s="38">
        <v>10.44</v>
      </c>
    </row>
    <row r="698" spans="1:14" x14ac:dyDescent="0.3">
      <c r="A698" s="33">
        <v>45300</v>
      </c>
      <c r="B698" s="34" t="s">
        <v>64</v>
      </c>
      <c r="C698" s="34" t="s">
        <v>61</v>
      </c>
      <c r="D698" s="34" t="s">
        <v>68</v>
      </c>
      <c r="E698" s="34" t="s">
        <v>72</v>
      </c>
      <c r="F698" s="35">
        <v>96310</v>
      </c>
      <c r="G698" s="35">
        <v>6905</v>
      </c>
      <c r="H698" s="36">
        <v>7.17E-2</v>
      </c>
      <c r="I698" s="37">
        <v>1.28</v>
      </c>
      <c r="J698" s="37">
        <v>8838.4</v>
      </c>
      <c r="K698" s="35">
        <v>247</v>
      </c>
      <c r="L698" s="37">
        <v>35.78</v>
      </c>
      <c r="M698" s="37">
        <v>8632.99</v>
      </c>
      <c r="N698" s="38">
        <v>0.98</v>
      </c>
    </row>
    <row r="699" spans="1:14" x14ac:dyDescent="0.3">
      <c r="A699" s="33">
        <v>45540</v>
      </c>
      <c r="B699" s="34" t="s">
        <v>60</v>
      </c>
      <c r="C699" s="34" t="s">
        <v>70</v>
      </c>
      <c r="D699" s="34" t="s">
        <v>62</v>
      </c>
      <c r="E699" s="34" t="s">
        <v>77</v>
      </c>
      <c r="F699" s="35">
        <v>197589</v>
      </c>
      <c r="G699" s="35">
        <v>4781</v>
      </c>
      <c r="H699" s="36">
        <v>2.4199999999999999E-2</v>
      </c>
      <c r="I699" s="37">
        <v>1.6</v>
      </c>
      <c r="J699" s="37">
        <v>7649.6</v>
      </c>
      <c r="K699" s="35">
        <v>225</v>
      </c>
      <c r="L699" s="37">
        <v>34</v>
      </c>
      <c r="M699" s="37">
        <v>12329.91</v>
      </c>
      <c r="N699" s="38">
        <v>1.61</v>
      </c>
    </row>
    <row r="700" spans="1:14" x14ac:dyDescent="0.3">
      <c r="A700" s="33">
        <v>45339</v>
      </c>
      <c r="B700" s="34" t="s">
        <v>74</v>
      </c>
      <c r="C700" s="34" t="s">
        <v>67</v>
      </c>
      <c r="D700" s="34" t="s">
        <v>76</v>
      </c>
      <c r="E700" s="34" t="s">
        <v>69</v>
      </c>
      <c r="F700" s="35">
        <v>118566</v>
      </c>
      <c r="G700" s="35">
        <v>3711</v>
      </c>
      <c r="H700" s="36">
        <v>3.1300000000000001E-2</v>
      </c>
      <c r="I700" s="37">
        <v>1.1299999999999999</v>
      </c>
      <c r="J700" s="37">
        <v>4193.43</v>
      </c>
      <c r="K700" s="35">
        <v>58</v>
      </c>
      <c r="L700" s="37">
        <v>72.3</v>
      </c>
      <c r="M700" s="37">
        <v>14643.53</v>
      </c>
      <c r="N700" s="38">
        <v>3.49</v>
      </c>
    </row>
    <row r="701" spans="1:14" x14ac:dyDescent="0.3">
      <c r="A701" s="33">
        <v>45560</v>
      </c>
      <c r="B701" s="34" t="s">
        <v>74</v>
      </c>
      <c r="C701" s="34" t="s">
        <v>70</v>
      </c>
      <c r="D701" s="34" t="s">
        <v>68</v>
      </c>
      <c r="E701" s="34" t="s">
        <v>72</v>
      </c>
      <c r="F701" s="35">
        <v>199451</v>
      </c>
      <c r="G701" s="35">
        <v>3989</v>
      </c>
      <c r="H701" s="36">
        <v>0.02</v>
      </c>
      <c r="I701" s="37">
        <v>1.28</v>
      </c>
      <c r="J701" s="37">
        <v>5105.92</v>
      </c>
      <c r="K701" s="35">
        <v>110</v>
      </c>
      <c r="L701" s="37">
        <v>46.42</v>
      </c>
      <c r="M701" s="37">
        <v>8236.16</v>
      </c>
      <c r="N701" s="38">
        <v>1.61</v>
      </c>
    </row>
    <row r="702" spans="1:14" x14ac:dyDescent="0.3">
      <c r="A702" s="33">
        <v>45588</v>
      </c>
      <c r="B702" s="34" t="s">
        <v>60</v>
      </c>
      <c r="C702" s="34" t="s">
        <v>75</v>
      </c>
      <c r="D702" s="34" t="s">
        <v>71</v>
      </c>
      <c r="E702" s="34" t="s">
        <v>63</v>
      </c>
      <c r="F702" s="35">
        <v>88251</v>
      </c>
      <c r="G702" s="35">
        <v>5965</v>
      </c>
      <c r="H702" s="36">
        <v>6.7599999999999993E-2</v>
      </c>
      <c r="I702" s="37">
        <v>0.82</v>
      </c>
      <c r="J702" s="37">
        <v>4891.3</v>
      </c>
      <c r="K702" s="35">
        <v>133</v>
      </c>
      <c r="L702" s="37">
        <v>36.78</v>
      </c>
      <c r="M702" s="37">
        <v>14897.06</v>
      </c>
      <c r="N702" s="38">
        <v>3.05</v>
      </c>
    </row>
    <row r="703" spans="1:14" x14ac:dyDescent="0.3">
      <c r="A703" s="33">
        <v>45306</v>
      </c>
      <c r="B703" s="34" t="s">
        <v>60</v>
      </c>
      <c r="C703" s="34" t="s">
        <v>75</v>
      </c>
      <c r="D703" s="34" t="s">
        <v>62</v>
      </c>
      <c r="E703" s="34" t="s">
        <v>73</v>
      </c>
      <c r="F703" s="35">
        <v>55406</v>
      </c>
      <c r="G703" s="35">
        <v>2648</v>
      </c>
      <c r="H703" s="36">
        <v>4.7800000000000002E-2</v>
      </c>
      <c r="I703" s="37">
        <v>1.9</v>
      </c>
      <c r="J703" s="37">
        <v>5031.2</v>
      </c>
      <c r="K703" s="35">
        <v>149</v>
      </c>
      <c r="L703" s="37">
        <v>33.770000000000003</v>
      </c>
      <c r="M703" s="37">
        <v>22127.3</v>
      </c>
      <c r="N703" s="38">
        <v>4.4000000000000004</v>
      </c>
    </row>
    <row r="704" spans="1:14" x14ac:dyDescent="0.3">
      <c r="A704" s="33">
        <v>45338</v>
      </c>
      <c r="B704" s="34" t="s">
        <v>64</v>
      </c>
      <c r="C704" s="34" t="s">
        <v>75</v>
      </c>
      <c r="D704" s="34" t="s">
        <v>62</v>
      </c>
      <c r="E704" s="34" t="s">
        <v>78</v>
      </c>
      <c r="F704" s="35">
        <v>141447</v>
      </c>
      <c r="G704" s="35">
        <v>9873</v>
      </c>
      <c r="H704" s="36">
        <v>6.9800000000000001E-2</v>
      </c>
      <c r="I704" s="37">
        <v>1.39</v>
      </c>
      <c r="J704" s="37">
        <v>13723.47</v>
      </c>
      <c r="K704" s="35">
        <v>588</v>
      </c>
      <c r="L704" s="37">
        <v>23.34</v>
      </c>
      <c r="M704" s="37">
        <v>86774.51</v>
      </c>
      <c r="N704" s="38">
        <v>6.32</v>
      </c>
    </row>
    <row r="705" spans="1:14" x14ac:dyDescent="0.3">
      <c r="A705" s="33">
        <v>45328</v>
      </c>
      <c r="B705" s="34" t="s">
        <v>60</v>
      </c>
      <c r="C705" s="34" t="s">
        <v>67</v>
      </c>
      <c r="D705" s="34" t="s">
        <v>65</v>
      </c>
      <c r="E705" s="34" t="s">
        <v>66</v>
      </c>
      <c r="F705" s="35">
        <v>73591</v>
      </c>
      <c r="G705" s="35">
        <v>2649</v>
      </c>
      <c r="H705" s="36">
        <v>3.5999999999999997E-2</v>
      </c>
      <c r="I705" s="37">
        <v>2.83</v>
      </c>
      <c r="J705" s="37">
        <v>7496.67</v>
      </c>
      <c r="K705" s="35">
        <v>161</v>
      </c>
      <c r="L705" s="37">
        <v>46.56</v>
      </c>
      <c r="M705" s="37">
        <v>45161.9</v>
      </c>
      <c r="N705" s="38">
        <v>6.02</v>
      </c>
    </row>
    <row r="706" spans="1:14" x14ac:dyDescent="0.3">
      <c r="A706" s="33">
        <v>45347</v>
      </c>
      <c r="B706" s="34" t="s">
        <v>60</v>
      </c>
      <c r="C706" s="34" t="s">
        <v>67</v>
      </c>
      <c r="D706" s="34" t="s">
        <v>62</v>
      </c>
      <c r="E706" s="34" t="s">
        <v>77</v>
      </c>
      <c r="F706" s="35">
        <v>66477</v>
      </c>
      <c r="G706" s="35">
        <v>2718</v>
      </c>
      <c r="H706" s="36">
        <v>4.0899999999999999E-2</v>
      </c>
      <c r="I706" s="37">
        <v>2.86</v>
      </c>
      <c r="J706" s="37">
        <v>7773.48</v>
      </c>
      <c r="K706" s="35">
        <v>160</v>
      </c>
      <c r="L706" s="37">
        <v>48.58</v>
      </c>
      <c r="M706" s="37">
        <v>16856.48</v>
      </c>
      <c r="N706" s="38">
        <v>2.17</v>
      </c>
    </row>
    <row r="707" spans="1:14" x14ac:dyDescent="0.3">
      <c r="A707" s="33">
        <v>45532</v>
      </c>
      <c r="B707" s="34" t="s">
        <v>74</v>
      </c>
      <c r="C707" s="34" t="s">
        <v>67</v>
      </c>
      <c r="D707" s="34" t="s">
        <v>76</v>
      </c>
      <c r="E707" s="34" t="s">
        <v>63</v>
      </c>
      <c r="F707" s="35">
        <v>196386</v>
      </c>
      <c r="G707" s="35">
        <v>6794</v>
      </c>
      <c r="H707" s="36">
        <v>3.4599999999999999E-2</v>
      </c>
      <c r="I707" s="37">
        <v>0.81</v>
      </c>
      <c r="J707" s="37">
        <v>5503.14</v>
      </c>
      <c r="K707" s="35">
        <v>506</v>
      </c>
      <c r="L707" s="37">
        <v>10.88</v>
      </c>
      <c r="M707" s="37">
        <v>34412.06</v>
      </c>
      <c r="N707" s="38">
        <v>6.25</v>
      </c>
    </row>
    <row r="708" spans="1:14" x14ac:dyDescent="0.3">
      <c r="A708" s="33">
        <v>45593</v>
      </c>
      <c r="B708" s="34" t="s">
        <v>60</v>
      </c>
      <c r="C708" s="34" t="s">
        <v>75</v>
      </c>
      <c r="D708" s="34" t="s">
        <v>62</v>
      </c>
      <c r="E708" s="34" t="s">
        <v>73</v>
      </c>
      <c r="F708" s="35">
        <v>78927</v>
      </c>
      <c r="G708" s="35">
        <v>3172</v>
      </c>
      <c r="H708" s="36">
        <v>4.02E-2</v>
      </c>
      <c r="I708" s="37">
        <v>3.2</v>
      </c>
      <c r="J708" s="37">
        <v>10150.4</v>
      </c>
      <c r="K708" s="35">
        <v>62</v>
      </c>
      <c r="L708" s="37">
        <v>163.72</v>
      </c>
      <c r="M708" s="37">
        <v>7568.63</v>
      </c>
      <c r="N708" s="38">
        <v>0.75</v>
      </c>
    </row>
    <row r="709" spans="1:14" x14ac:dyDescent="0.3">
      <c r="A709" s="33">
        <v>45636</v>
      </c>
      <c r="B709" s="34" t="s">
        <v>60</v>
      </c>
      <c r="C709" s="34" t="s">
        <v>75</v>
      </c>
      <c r="D709" s="34" t="s">
        <v>71</v>
      </c>
      <c r="E709" s="34" t="s">
        <v>73</v>
      </c>
      <c r="F709" s="35">
        <v>184857</v>
      </c>
      <c r="G709" s="35">
        <v>3419</v>
      </c>
      <c r="H709" s="36">
        <v>1.8499999999999999E-2</v>
      </c>
      <c r="I709" s="37">
        <v>2.57</v>
      </c>
      <c r="J709" s="37">
        <v>8786.83</v>
      </c>
      <c r="K709" s="35">
        <v>248</v>
      </c>
      <c r="L709" s="37">
        <v>35.43</v>
      </c>
      <c r="M709" s="37">
        <v>70137.509999999995</v>
      </c>
      <c r="N709" s="38">
        <v>7.98</v>
      </c>
    </row>
    <row r="710" spans="1:14" x14ac:dyDescent="0.3">
      <c r="A710" s="33">
        <v>45534</v>
      </c>
      <c r="B710" s="34" t="s">
        <v>64</v>
      </c>
      <c r="C710" s="34" t="s">
        <v>75</v>
      </c>
      <c r="D710" s="34" t="s">
        <v>65</v>
      </c>
      <c r="E710" s="34" t="s">
        <v>77</v>
      </c>
      <c r="F710" s="35">
        <v>122174</v>
      </c>
      <c r="G710" s="35">
        <v>6499</v>
      </c>
      <c r="H710" s="36">
        <v>5.3199999999999997E-2</v>
      </c>
      <c r="I710" s="37">
        <v>0.88</v>
      </c>
      <c r="J710" s="37">
        <v>5719.12</v>
      </c>
      <c r="K710" s="35">
        <v>413</v>
      </c>
      <c r="L710" s="37">
        <v>13.85</v>
      </c>
      <c r="M710" s="37">
        <v>58791.38</v>
      </c>
      <c r="N710" s="38">
        <v>10.28</v>
      </c>
    </row>
    <row r="711" spans="1:14" x14ac:dyDescent="0.3">
      <c r="A711" s="33">
        <v>45499</v>
      </c>
      <c r="B711" s="34" t="s">
        <v>60</v>
      </c>
      <c r="C711" s="34" t="s">
        <v>61</v>
      </c>
      <c r="D711" s="34" t="s">
        <v>71</v>
      </c>
      <c r="E711" s="34" t="s">
        <v>72</v>
      </c>
      <c r="F711" s="35">
        <v>108719</v>
      </c>
      <c r="G711" s="35">
        <v>4207</v>
      </c>
      <c r="H711" s="36">
        <v>3.8699999999999998E-2</v>
      </c>
      <c r="I711" s="37">
        <v>3.2</v>
      </c>
      <c r="J711" s="37">
        <v>13462.4</v>
      </c>
      <c r="K711" s="35">
        <v>121</v>
      </c>
      <c r="L711" s="37">
        <v>111.26</v>
      </c>
      <c r="M711" s="37">
        <v>21018.47</v>
      </c>
      <c r="N711" s="38">
        <v>1.56</v>
      </c>
    </row>
    <row r="712" spans="1:14" x14ac:dyDescent="0.3">
      <c r="A712" s="33">
        <v>45604</v>
      </c>
      <c r="B712" s="34" t="s">
        <v>74</v>
      </c>
      <c r="C712" s="34" t="s">
        <v>70</v>
      </c>
      <c r="D712" s="34" t="s">
        <v>68</v>
      </c>
      <c r="E712" s="34" t="s">
        <v>78</v>
      </c>
      <c r="F712" s="35">
        <v>186949</v>
      </c>
      <c r="G712" s="35">
        <v>3140</v>
      </c>
      <c r="H712" s="36">
        <v>1.6799999999999999E-2</v>
      </c>
      <c r="I712" s="37">
        <v>0.6</v>
      </c>
      <c r="J712" s="37">
        <v>1884</v>
      </c>
      <c r="K712" s="35">
        <v>186</v>
      </c>
      <c r="L712" s="37">
        <v>10.130000000000001</v>
      </c>
      <c r="M712" s="37">
        <v>30294.1</v>
      </c>
      <c r="N712" s="38">
        <v>16.079999999999998</v>
      </c>
    </row>
    <row r="713" spans="1:14" x14ac:dyDescent="0.3">
      <c r="A713" s="33">
        <v>45547</v>
      </c>
      <c r="B713" s="34" t="s">
        <v>60</v>
      </c>
      <c r="C713" s="34" t="s">
        <v>67</v>
      </c>
      <c r="D713" s="34" t="s">
        <v>76</v>
      </c>
      <c r="E713" s="34" t="s">
        <v>66</v>
      </c>
      <c r="F713" s="35">
        <v>193869</v>
      </c>
      <c r="G713" s="35">
        <v>13124</v>
      </c>
      <c r="H713" s="36">
        <v>6.7699999999999996E-2</v>
      </c>
      <c r="I713" s="37">
        <v>2.93</v>
      </c>
      <c r="J713" s="37">
        <v>38453.32</v>
      </c>
      <c r="K713" s="35">
        <v>264</v>
      </c>
      <c r="L713" s="37">
        <v>145.66</v>
      </c>
      <c r="M713" s="37">
        <v>67604.89</v>
      </c>
      <c r="N713" s="38">
        <v>1.76</v>
      </c>
    </row>
    <row r="714" spans="1:14" x14ac:dyDescent="0.3">
      <c r="A714" s="33">
        <v>45501</v>
      </c>
      <c r="B714" s="34" t="s">
        <v>60</v>
      </c>
      <c r="C714" s="34" t="s">
        <v>61</v>
      </c>
      <c r="D714" s="34" t="s">
        <v>65</v>
      </c>
      <c r="E714" s="34" t="s">
        <v>78</v>
      </c>
      <c r="F714" s="35">
        <v>158535</v>
      </c>
      <c r="G714" s="35">
        <v>3836</v>
      </c>
      <c r="H714" s="36">
        <v>2.4199999999999999E-2</v>
      </c>
      <c r="I714" s="37">
        <v>2.16</v>
      </c>
      <c r="J714" s="37">
        <v>8285.76</v>
      </c>
      <c r="K714" s="35">
        <v>120</v>
      </c>
      <c r="L714" s="37">
        <v>69.05</v>
      </c>
      <c r="M714" s="37">
        <v>12930.51</v>
      </c>
      <c r="N714" s="38">
        <v>1.56</v>
      </c>
    </row>
    <row r="715" spans="1:14" x14ac:dyDescent="0.3">
      <c r="A715" s="33">
        <v>45640</v>
      </c>
      <c r="B715" s="34" t="s">
        <v>64</v>
      </c>
      <c r="C715" s="34" t="s">
        <v>61</v>
      </c>
      <c r="D715" s="34" t="s">
        <v>65</v>
      </c>
      <c r="E715" s="34" t="s">
        <v>63</v>
      </c>
      <c r="F715" s="35">
        <v>148949</v>
      </c>
      <c r="G715" s="35">
        <v>12332</v>
      </c>
      <c r="H715" s="36">
        <v>8.2799999999999999E-2</v>
      </c>
      <c r="I715" s="37">
        <v>1.01</v>
      </c>
      <c r="J715" s="37">
        <v>12455.32</v>
      </c>
      <c r="K715" s="35">
        <v>546</v>
      </c>
      <c r="L715" s="37">
        <v>22.81</v>
      </c>
      <c r="M715" s="37">
        <v>95805.85</v>
      </c>
      <c r="N715" s="38">
        <v>7.69</v>
      </c>
    </row>
    <row r="716" spans="1:14" x14ac:dyDescent="0.3">
      <c r="A716" s="33">
        <v>45492</v>
      </c>
      <c r="B716" s="34" t="s">
        <v>60</v>
      </c>
      <c r="C716" s="34" t="s">
        <v>75</v>
      </c>
      <c r="D716" s="34" t="s">
        <v>62</v>
      </c>
      <c r="E716" s="34" t="s">
        <v>69</v>
      </c>
      <c r="F716" s="35">
        <v>184810</v>
      </c>
      <c r="G716" s="35">
        <v>7447</v>
      </c>
      <c r="H716" s="36">
        <v>4.0300000000000002E-2</v>
      </c>
      <c r="I716" s="37">
        <v>3.12</v>
      </c>
      <c r="J716" s="37">
        <v>23234.639999999999</v>
      </c>
      <c r="K716" s="35">
        <v>334</v>
      </c>
      <c r="L716" s="37">
        <v>69.56</v>
      </c>
      <c r="M716" s="37">
        <v>51289.24</v>
      </c>
      <c r="N716" s="38">
        <v>2.21</v>
      </c>
    </row>
    <row r="717" spans="1:14" x14ac:dyDescent="0.3">
      <c r="A717" s="33">
        <v>45489</v>
      </c>
      <c r="B717" s="34" t="s">
        <v>74</v>
      </c>
      <c r="C717" s="34" t="s">
        <v>67</v>
      </c>
      <c r="D717" s="34" t="s">
        <v>76</v>
      </c>
      <c r="E717" s="34" t="s">
        <v>69</v>
      </c>
      <c r="F717" s="35">
        <v>85989</v>
      </c>
      <c r="G717" s="35">
        <v>997</v>
      </c>
      <c r="H717" s="36">
        <v>1.1599999999999999E-2</v>
      </c>
      <c r="I717" s="37">
        <v>1.69</v>
      </c>
      <c r="J717" s="37">
        <v>1684.93</v>
      </c>
      <c r="K717" s="35">
        <v>37</v>
      </c>
      <c r="L717" s="37">
        <v>45.54</v>
      </c>
      <c r="M717" s="37">
        <v>4865.84</v>
      </c>
      <c r="N717" s="38">
        <v>2.89</v>
      </c>
    </row>
    <row r="718" spans="1:14" x14ac:dyDescent="0.3">
      <c r="A718" s="33">
        <v>45338</v>
      </c>
      <c r="B718" s="34" t="s">
        <v>74</v>
      </c>
      <c r="C718" s="34" t="s">
        <v>70</v>
      </c>
      <c r="D718" s="34" t="s">
        <v>62</v>
      </c>
      <c r="E718" s="34" t="s">
        <v>73</v>
      </c>
      <c r="F718" s="35">
        <v>35755</v>
      </c>
      <c r="G718" s="35">
        <v>654</v>
      </c>
      <c r="H718" s="36">
        <v>1.83E-2</v>
      </c>
      <c r="I718" s="37">
        <v>1.6</v>
      </c>
      <c r="J718" s="37">
        <v>1046.4000000000001</v>
      </c>
      <c r="K718" s="35">
        <v>40</v>
      </c>
      <c r="L718" s="37">
        <v>26.16</v>
      </c>
      <c r="M718" s="37">
        <v>11846.71</v>
      </c>
      <c r="N718" s="38">
        <v>11.32</v>
      </c>
    </row>
    <row r="719" spans="1:14" x14ac:dyDescent="0.3">
      <c r="A719" s="33">
        <v>45590</v>
      </c>
      <c r="B719" s="34" t="s">
        <v>74</v>
      </c>
      <c r="C719" s="34" t="s">
        <v>67</v>
      </c>
      <c r="D719" s="34" t="s">
        <v>62</v>
      </c>
      <c r="E719" s="34" t="s">
        <v>66</v>
      </c>
      <c r="F719" s="35">
        <v>184298</v>
      </c>
      <c r="G719" s="35">
        <v>7758</v>
      </c>
      <c r="H719" s="36">
        <v>4.2099999999999999E-2</v>
      </c>
      <c r="I719" s="37">
        <v>1.55</v>
      </c>
      <c r="J719" s="37">
        <v>12024.9</v>
      </c>
      <c r="K719" s="35">
        <v>351</v>
      </c>
      <c r="L719" s="37">
        <v>34.26</v>
      </c>
      <c r="M719" s="37">
        <v>91198.92</v>
      </c>
      <c r="N719" s="38">
        <v>7.58</v>
      </c>
    </row>
    <row r="720" spans="1:14" x14ac:dyDescent="0.3">
      <c r="A720" s="33">
        <v>45368</v>
      </c>
      <c r="B720" s="34" t="s">
        <v>74</v>
      </c>
      <c r="C720" s="34" t="s">
        <v>67</v>
      </c>
      <c r="D720" s="34" t="s">
        <v>71</v>
      </c>
      <c r="E720" s="34" t="s">
        <v>77</v>
      </c>
      <c r="F720" s="35">
        <v>22878</v>
      </c>
      <c r="G720" s="35">
        <v>619</v>
      </c>
      <c r="H720" s="36">
        <v>2.7099999999999999E-2</v>
      </c>
      <c r="I720" s="37">
        <v>1.01</v>
      </c>
      <c r="J720" s="37">
        <v>625.19000000000005</v>
      </c>
      <c r="K720" s="35">
        <v>43</v>
      </c>
      <c r="L720" s="37">
        <v>14.54</v>
      </c>
      <c r="M720" s="37">
        <v>8615.57</v>
      </c>
      <c r="N720" s="38">
        <v>13.78</v>
      </c>
    </row>
    <row r="721" spans="1:14" x14ac:dyDescent="0.3">
      <c r="A721" s="33">
        <v>45612</v>
      </c>
      <c r="B721" s="34" t="s">
        <v>74</v>
      </c>
      <c r="C721" s="34" t="s">
        <v>61</v>
      </c>
      <c r="D721" s="34" t="s">
        <v>62</v>
      </c>
      <c r="E721" s="34" t="s">
        <v>66</v>
      </c>
      <c r="F721" s="35">
        <v>151539</v>
      </c>
      <c r="G721" s="35">
        <v>3455</v>
      </c>
      <c r="H721" s="36">
        <v>2.2800000000000001E-2</v>
      </c>
      <c r="I721" s="37">
        <v>2.0499999999999998</v>
      </c>
      <c r="J721" s="37">
        <v>7082.75</v>
      </c>
      <c r="K721" s="35">
        <v>135</v>
      </c>
      <c r="L721" s="37">
        <v>52.46</v>
      </c>
      <c r="M721" s="37">
        <v>4666.78</v>
      </c>
      <c r="N721" s="38">
        <v>0.66</v>
      </c>
    </row>
    <row r="722" spans="1:14" x14ac:dyDescent="0.3">
      <c r="A722" s="33">
        <v>45591</v>
      </c>
      <c r="B722" s="34" t="s">
        <v>60</v>
      </c>
      <c r="C722" s="34" t="s">
        <v>75</v>
      </c>
      <c r="D722" s="34" t="s">
        <v>68</v>
      </c>
      <c r="E722" s="34" t="s">
        <v>78</v>
      </c>
      <c r="F722" s="35">
        <v>180365</v>
      </c>
      <c r="G722" s="35">
        <v>6114</v>
      </c>
      <c r="H722" s="36">
        <v>3.39E-2</v>
      </c>
      <c r="I722" s="37">
        <v>3.46</v>
      </c>
      <c r="J722" s="37">
        <v>21154.44</v>
      </c>
      <c r="K722" s="35">
        <v>400</v>
      </c>
      <c r="L722" s="37">
        <v>52.89</v>
      </c>
      <c r="M722" s="37">
        <v>111623.05</v>
      </c>
      <c r="N722" s="38">
        <v>5.28</v>
      </c>
    </row>
    <row r="723" spans="1:14" x14ac:dyDescent="0.3">
      <c r="A723" s="33">
        <v>45526</v>
      </c>
      <c r="B723" s="34" t="s">
        <v>74</v>
      </c>
      <c r="C723" s="34" t="s">
        <v>67</v>
      </c>
      <c r="D723" s="34" t="s">
        <v>62</v>
      </c>
      <c r="E723" s="34" t="s">
        <v>78</v>
      </c>
      <c r="F723" s="35">
        <v>30168</v>
      </c>
      <c r="G723" s="35">
        <v>1080</v>
      </c>
      <c r="H723" s="36">
        <v>3.5799999999999998E-2</v>
      </c>
      <c r="I723" s="37">
        <v>0.46</v>
      </c>
      <c r="J723" s="37">
        <v>496.8</v>
      </c>
      <c r="K723" s="35">
        <v>34</v>
      </c>
      <c r="L723" s="37">
        <v>14.61</v>
      </c>
      <c r="M723" s="37">
        <v>5163.2700000000004</v>
      </c>
      <c r="N723" s="38">
        <v>10.39</v>
      </c>
    </row>
    <row r="724" spans="1:14" x14ac:dyDescent="0.3">
      <c r="A724" s="33">
        <v>45424</v>
      </c>
      <c r="B724" s="34" t="s">
        <v>60</v>
      </c>
      <c r="C724" s="34" t="s">
        <v>75</v>
      </c>
      <c r="D724" s="34" t="s">
        <v>62</v>
      </c>
      <c r="E724" s="34" t="s">
        <v>63</v>
      </c>
      <c r="F724" s="35">
        <v>26352</v>
      </c>
      <c r="G724" s="35">
        <v>1697</v>
      </c>
      <c r="H724" s="36">
        <v>6.4399999999999999E-2</v>
      </c>
      <c r="I724" s="37">
        <v>1.71</v>
      </c>
      <c r="J724" s="37">
        <v>2901.87</v>
      </c>
      <c r="K724" s="35">
        <v>126</v>
      </c>
      <c r="L724" s="37">
        <v>23.03</v>
      </c>
      <c r="M724" s="37">
        <v>31980.19</v>
      </c>
      <c r="N724" s="38">
        <v>11.02</v>
      </c>
    </row>
    <row r="725" spans="1:14" x14ac:dyDescent="0.3">
      <c r="A725" s="33">
        <v>45314</v>
      </c>
      <c r="B725" s="34" t="s">
        <v>60</v>
      </c>
      <c r="C725" s="34" t="s">
        <v>61</v>
      </c>
      <c r="D725" s="34" t="s">
        <v>68</v>
      </c>
      <c r="E725" s="34" t="s">
        <v>77</v>
      </c>
      <c r="F725" s="35">
        <v>57979</v>
      </c>
      <c r="G725" s="35">
        <v>2081</v>
      </c>
      <c r="H725" s="36">
        <v>3.5900000000000001E-2</v>
      </c>
      <c r="I725" s="37">
        <v>1.89</v>
      </c>
      <c r="J725" s="37">
        <v>3933.09</v>
      </c>
      <c r="K725" s="35">
        <v>148</v>
      </c>
      <c r="L725" s="37">
        <v>26.57</v>
      </c>
      <c r="M725" s="37">
        <v>18788.47</v>
      </c>
      <c r="N725" s="38">
        <v>4.78</v>
      </c>
    </row>
    <row r="726" spans="1:14" x14ac:dyDescent="0.3">
      <c r="A726" s="33">
        <v>45577</v>
      </c>
      <c r="B726" s="34" t="s">
        <v>60</v>
      </c>
      <c r="C726" s="34" t="s">
        <v>67</v>
      </c>
      <c r="D726" s="34" t="s">
        <v>62</v>
      </c>
      <c r="E726" s="34" t="s">
        <v>78</v>
      </c>
      <c r="F726" s="35">
        <v>173769</v>
      </c>
      <c r="G726" s="35">
        <v>6759</v>
      </c>
      <c r="H726" s="36">
        <v>3.8899999999999997E-2</v>
      </c>
      <c r="I726" s="37">
        <v>2.86</v>
      </c>
      <c r="J726" s="37">
        <v>19330.740000000002</v>
      </c>
      <c r="K726" s="35">
        <v>158</v>
      </c>
      <c r="L726" s="37">
        <v>122.35</v>
      </c>
      <c r="M726" s="37">
        <v>21350.44</v>
      </c>
      <c r="N726" s="38">
        <v>1.1000000000000001</v>
      </c>
    </row>
    <row r="727" spans="1:14" x14ac:dyDescent="0.3">
      <c r="A727" s="33">
        <v>45536</v>
      </c>
      <c r="B727" s="34" t="s">
        <v>64</v>
      </c>
      <c r="C727" s="34" t="s">
        <v>70</v>
      </c>
      <c r="D727" s="34" t="s">
        <v>71</v>
      </c>
      <c r="E727" s="34" t="s">
        <v>72</v>
      </c>
      <c r="F727" s="35">
        <v>131206</v>
      </c>
      <c r="G727" s="35">
        <v>8279</v>
      </c>
      <c r="H727" s="36">
        <v>6.3100000000000003E-2</v>
      </c>
      <c r="I727" s="37">
        <v>1.53</v>
      </c>
      <c r="J727" s="37">
        <v>12666.87</v>
      </c>
      <c r="K727" s="35">
        <v>553</v>
      </c>
      <c r="L727" s="37">
        <v>22.91</v>
      </c>
      <c r="M727" s="37">
        <v>61485.88</v>
      </c>
      <c r="N727" s="38">
        <v>4.8499999999999996</v>
      </c>
    </row>
    <row r="728" spans="1:14" x14ac:dyDescent="0.3">
      <c r="A728" s="33">
        <v>45432</v>
      </c>
      <c r="B728" s="34" t="s">
        <v>74</v>
      </c>
      <c r="C728" s="34" t="s">
        <v>75</v>
      </c>
      <c r="D728" s="34" t="s">
        <v>65</v>
      </c>
      <c r="E728" s="34" t="s">
        <v>66</v>
      </c>
      <c r="F728" s="35">
        <v>64799</v>
      </c>
      <c r="G728" s="35">
        <v>842</v>
      </c>
      <c r="H728" s="36">
        <v>1.2999999999999999E-2</v>
      </c>
      <c r="I728" s="37">
        <v>1.75</v>
      </c>
      <c r="J728" s="37">
        <v>1473.5</v>
      </c>
      <c r="K728" s="35">
        <v>52</v>
      </c>
      <c r="L728" s="37">
        <v>28.34</v>
      </c>
      <c r="M728" s="37">
        <v>15157.93</v>
      </c>
      <c r="N728" s="38">
        <v>10.29</v>
      </c>
    </row>
    <row r="729" spans="1:14" x14ac:dyDescent="0.3">
      <c r="A729" s="33">
        <v>45307</v>
      </c>
      <c r="B729" s="34" t="s">
        <v>74</v>
      </c>
      <c r="C729" s="34" t="s">
        <v>70</v>
      </c>
      <c r="D729" s="34" t="s">
        <v>76</v>
      </c>
      <c r="E729" s="34" t="s">
        <v>66</v>
      </c>
      <c r="F729" s="35">
        <v>167893</v>
      </c>
      <c r="G729" s="35">
        <v>4432</v>
      </c>
      <c r="H729" s="36">
        <v>2.64E-2</v>
      </c>
      <c r="I729" s="37">
        <v>0.57999999999999996</v>
      </c>
      <c r="J729" s="37">
        <v>2570.56</v>
      </c>
      <c r="K729" s="35">
        <v>66</v>
      </c>
      <c r="L729" s="37">
        <v>38.950000000000003</v>
      </c>
      <c r="M729" s="37">
        <v>15989.78</v>
      </c>
      <c r="N729" s="38">
        <v>6.22</v>
      </c>
    </row>
    <row r="730" spans="1:14" x14ac:dyDescent="0.3">
      <c r="A730" s="33">
        <v>45411</v>
      </c>
      <c r="B730" s="34" t="s">
        <v>60</v>
      </c>
      <c r="C730" s="34" t="s">
        <v>75</v>
      </c>
      <c r="D730" s="34" t="s">
        <v>65</v>
      </c>
      <c r="E730" s="34" t="s">
        <v>78</v>
      </c>
      <c r="F730" s="35">
        <v>72474</v>
      </c>
      <c r="G730" s="35">
        <v>4022</v>
      </c>
      <c r="H730" s="36">
        <v>5.5500000000000001E-2</v>
      </c>
      <c r="I730" s="37">
        <v>3.11</v>
      </c>
      <c r="J730" s="37">
        <v>12508.42</v>
      </c>
      <c r="K730" s="35">
        <v>142</v>
      </c>
      <c r="L730" s="37">
        <v>88.09</v>
      </c>
      <c r="M730" s="37">
        <v>38937.53</v>
      </c>
      <c r="N730" s="38">
        <v>3.11</v>
      </c>
    </row>
    <row r="731" spans="1:14" x14ac:dyDescent="0.3">
      <c r="A731" s="33">
        <v>45590</v>
      </c>
      <c r="B731" s="34" t="s">
        <v>74</v>
      </c>
      <c r="C731" s="34" t="s">
        <v>67</v>
      </c>
      <c r="D731" s="34" t="s">
        <v>65</v>
      </c>
      <c r="E731" s="34" t="s">
        <v>73</v>
      </c>
      <c r="F731" s="35">
        <v>138678</v>
      </c>
      <c r="G731" s="35">
        <v>1802</v>
      </c>
      <c r="H731" s="36">
        <v>1.2999999999999999E-2</v>
      </c>
      <c r="I731" s="37">
        <v>1.9</v>
      </c>
      <c r="J731" s="37">
        <v>3423.8</v>
      </c>
      <c r="K731" s="35">
        <v>61</v>
      </c>
      <c r="L731" s="37">
        <v>56.13</v>
      </c>
      <c r="M731" s="37">
        <v>2147.0300000000002</v>
      </c>
      <c r="N731" s="38">
        <v>0.63</v>
      </c>
    </row>
    <row r="732" spans="1:14" x14ac:dyDescent="0.3">
      <c r="A732" s="33">
        <v>45479</v>
      </c>
      <c r="B732" s="34" t="s">
        <v>64</v>
      </c>
      <c r="C732" s="34" t="s">
        <v>61</v>
      </c>
      <c r="D732" s="34" t="s">
        <v>68</v>
      </c>
      <c r="E732" s="34" t="s">
        <v>63</v>
      </c>
      <c r="F732" s="35">
        <v>70195</v>
      </c>
      <c r="G732" s="35">
        <v>4239</v>
      </c>
      <c r="H732" s="36">
        <v>6.0400000000000002E-2</v>
      </c>
      <c r="I732" s="37">
        <v>1.42</v>
      </c>
      <c r="J732" s="37">
        <v>6019.38</v>
      </c>
      <c r="K732" s="35">
        <v>234</v>
      </c>
      <c r="L732" s="37">
        <v>25.72</v>
      </c>
      <c r="M732" s="37">
        <v>38776.78</v>
      </c>
      <c r="N732" s="38">
        <v>6.44</v>
      </c>
    </row>
    <row r="733" spans="1:14" x14ac:dyDescent="0.3">
      <c r="A733" s="33">
        <v>45532</v>
      </c>
      <c r="B733" s="34" t="s">
        <v>74</v>
      </c>
      <c r="C733" s="34" t="s">
        <v>61</v>
      </c>
      <c r="D733" s="34" t="s">
        <v>65</v>
      </c>
      <c r="E733" s="34" t="s">
        <v>69</v>
      </c>
      <c r="F733" s="35">
        <v>73513</v>
      </c>
      <c r="G733" s="35">
        <v>2073</v>
      </c>
      <c r="H733" s="36">
        <v>2.8199999999999999E-2</v>
      </c>
      <c r="I733" s="37">
        <v>2.2200000000000002</v>
      </c>
      <c r="J733" s="37">
        <v>4602.0600000000004</v>
      </c>
      <c r="K733" s="35">
        <v>31</v>
      </c>
      <c r="L733" s="37">
        <v>148.44999999999999</v>
      </c>
      <c r="M733" s="37">
        <v>3401.33</v>
      </c>
      <c r="N733" s="38">
        <v>0.74</v>
      </c>
    </row>
    <row r="734" spans="1:14" x14ac:dyDescent="0.3">
      <c r="A734" s="33">
        <v>45445</v>
      </c>
      <c r="B734" s="34" t="s">
        <v>60</v>
      </c>
      <c r="C734" s="34" t="s">
        <v>61</v>
      </c>
      <c r="D734" s="34" t="s">
        <v>71</v>
      </c>
      <c r="E734" s="34" t="s">
        <v>72</v>
      </c>
      <c r="F734" s="35">
        <v>162786</v>
      </c>
      <c r="G734" s="35">
        <v>7406</v>
      </c>
      <c r="H734" s="36">
        <v>4.5499999999999999E-2</v>
      </c>
      <c r="I734" s="37">
        <v>1.45</v>
      </c>
      <c r="J734" s="37">
        <v>10738.7</v>
      </c>
      <c r="K734" s="35">
        <v>513</v>
      </c>
      <c r="L734" s="37">
        <v>20.93</v>
      </c>
      <c r="M734" s="37">
        <v>67523.570000000007</v>
      </c>
      <c r="N734" s="38">
        <v>6.29</v>
      </c>
    </row>
    <row r="735" spans="1:14" x14ac:dyDescent="0.3">
      <c r="A735" s="33">
        <v>45558</v>
      </c>
      <c r="B735" s="34" t="s">
        <v>60</v>
      </c>
      <c r="C735" s="34" t="s">
        <v>67</v>
      </c>
      <c r="D735" s="34" t="s">
        <v>68</v>
      </c>
      <c r="E735" s="34" t="s">
        <v>69</v>
      </c>
      <c r="F735" s="35">
        <v>133909</v>
      </c>
      <c r="G735" s="35">
        <v>5664</v>
      </c>
      <c r="H735" s="36">
        <v>4.2299999999999997E-2</v>
      </c>
      <c r="I735" s="37">
        <v>2.88</v>
      </c>
      <c r="J735" s="37">
        <v>16312.32</v>
      </c>
      <c r="K735" s="35">
        <v>117</v>
      </c>
      <c r="L735" s="37">
        <v>139.41999999999999</v>
      </c>
      <c r="M735" s="37">
        <v>11886.29</v>
      </c>
      <c r="N735" s="38">
        <v>0.73</v>
      </c>
    </row>
    <row r="736" spans="1:14" x14ac:dyDescent="0.3">
      <c r="A736" s="33">
        <v>45316</v>
      </c>
      <c r="B736" s="34" t="s">
        <v>60</v>
      </c>
      <c r="C736" s="34" t="s">
        <v>61</v>
      </c>
      <c r="D736" s="34" t="s">
        <v>76</v>
      </c>
      <c r="E736" s="34" t="s">
        <v>78</v>
      </c>
      <c r="F736" s="35">
        <v>92185</v>
      </c>
      <c r="G736" s="35">
        <v>3779</v>
      </c>
      <c r="H736" s="36">
        <v>4.1000000000000002E-2</v>
      </c>
      <c r="I736" s="37">
        <v>1.62</v>
      </c>
      <c r="J736" s="37">
        <v>6121.98</v>
      </c>
      <c r="K736" s="35">
        <v>82</v>
      </c>
      <c r="L736" s="37">
        <v>74.66</v>
      </c>
      <c r="M736" s="37">
        <v>11861.33</v>
      </c>
      <c r="N736" s="38">
        <v>1.94</v>
      </c>
    </row>
    <row r="737" spans="1:14" x14ac:dyDescent="0.3">
      <c r="A737" s="33">
        <v>45459</v>
      </c>
      <c r="B737" s="34" t="s">
        <v>74</v>
      </c>
      <c r="C737" s="34" t="s">
        <v>61</v>
      </c>
      <c r="D737" s="34" t="s">
        <v>76</v>
      </c>
      <c r="E737" s="34" t="s">
        <v>78</v>
      </c>
      <c r="F737" s="35">
        <v>136637</v>
      </c>
      <c r="G737" s="35">
        <v>4399</v>
      </c>
      <c r="H737" s="36">
        <v>3.2199999999999999E-2</v>
      </c>
      <c r="I737" s="37">
        <v>1.31</v>
      </c>
      <c r="J737" s="37">
        <v>5762.69</v>
      </c>
      <c r="K737" s="35">
        <v>254</v>
      </c>
      <c r="L737" s="37">
        <v>22.69</v>
      </c>
      <c r="M737" s="37">
        <v>21909.38</v>
      </c>
      <c r="N737" s="38">
        <v>3.8</v>
      </c>
    </row>
    <row r="738" spans="1:14" x14ac:dyDescent="0.3">
      <c r="A738" s="33">
        <v>45447</v>
      </c>
      <c r="B738" s="34" t="s">
        <v>74</v>
      </c>
      <c r="C738" s="34" t="s">
        <v>75</v>
      </c>
      <c r="D738" s="34" t="s">
        <v>76</v>
      </c>
      <c r="E738" s="34" t="s">
        <v>77</v>
      </c>
      <c r="F738" s="35">
        <v>56986</v>
      </c>
      <c r="G738" s="35">
        <v>1270</v>
      </c>
      <c r="H738" s="36">
        <v>2.23E-2</v>
      </c>
      <c r="I738" s="37">
        <v>0.93</v>
      </c>
      <c r="J738" s="37">
        <v>1181.0999999999999</v>
      </c>
      <c r="K738" s="35">
        <v>13</v>
      </c>
      <c r="L738" s="37">
        <v>90.85</v>
      </c>
      <c r="M738" s="37">
        <v>3679.26</v>
      </c>
      <c r="N738" s="38">
        <v>3.12</v>
      </c>
    </row>
    <row r="739" spans="1:14" x14ac:dyDescent="0.3">
      <c r="A739" s="33">
        <v>45342</v>
      </c>
      <c r="B739" s="34" t="s">
        <v>74</v>
      </c>
      <c r="C739" s="34" t="s">
        <v>75</v>
      </c>
      <c r="D739" s="34" t="s">
        <v>71</v>
      </c>
      <c r="E739" s="34" t="s">
        <v>66</v>
      </c>
      <c r="F739" s="35">
        <v>148859</v>
      </c>
      <c r="G739" s="35">
        <v>3840</v>
      </c>
      <c r="H739" s="36">
        <v>2.58E-2</v>
      </c>
      <c r="I739" s="37">
        <v>1.8</v>
      </c>
      <c r="J739" s="37">
        <v>6912</v>
      </c>
      <c r="K739" s="35">
        <v>250</v>
      </c>
      <c r="L739" s="37">
        <v>27.65</v>
      </c>
      <c r="M739" s="37">
        <v>22027.39</v>
      </c>
      <c r="N739" s="38">
        <v>3.19</v>
      </c>
    </row>
    <row r="740" spans="1:14" x14ac:dyDescent="0.3">
      <c r="A740" s="33">
        <v>45507</v>
      </c>
      <c r="B740" s="34" t="s">
        <v>60</v>
      </c>
      <c r="C740" s="34" t="s">
        <v>61</v>
      </c>
      <c r="D740" s="34" t="s">
        <v>65</v>
      </c>
      <c r="E740" s="34" t="s">
        <v>69</v>
      </c>
      <c r="F740" s="35">
        <v>151900</v>
      </c>
      <c r="G740" s="35">
        <v>5270</v>
      </c>
      <c r="H740" s="36">
        <v>3.4700000000000002E-2</v>
      </c>
      <c r="I740" s="37">
        <v>1.1100000000000001</v>
      </c>
      <c r="J740" s="37">
        <v>5849.7</v>
      </c>
      <c r="K740" s="35">
        <v>291</v>
      </c>
      <c r="L740" s="37">
        <v>20.100000000000001</v>
      </c>
      <c r="M740" s="37">
        <v>47553.46</v>
      </c>
      <c r="N740" s="38">
        <v>8.1300000000000008</v>
      </c>
    </row>
    <row r="741" spans="1:14" x14ac:dyDescent="0.3">
      <c r="A741" s="33">
        <v>45573</v>
      </c>
      <c r="B741" s="34" t="s">
        <v>74</v>
      </c>
      <c r="C741" s="34" t="s">
        <v>70</v>
      </c>
      <c r="D741" s="34" t="s">
        <v>65</v>
      </c>
      <c r="E741" s="34" t="s">
        <v>63</v>
      </c>
      <c r="F741" s="35">
        <v>155555</v>
      </c>
      <c r="G741" s="35">
        <v>4588</v>
      </c>
      <c r="H741" s="36">
        <v>2.9499999999999998E-2</v>
      </c>
      <c r="I741" s="37">
        <v>1.55</v>
      </c>
      <c r="J741" s="37">
        <v>7111.4</v>
      </c>
      <c r="K741" s="35">
        <v>332</v>
      </c>
      <c r="L741" s="37">
        <v>21.42</v>
      </c>
      <c r="M741" s="37">
        <v>12719.4</v>
      </c>
      <c r="N741" s="38">
        <v>1.79</v>
      </c>
    </row>
    <row r="742" spans="1:14" x14ac:dyDescent="0.3">
      <c r="A742" s="33">
        <v>45576</v>
      </c>
      <c r="B742" s="34" t="s">
        <v>74</v>
      </c>
      <c r="C742" s="34" t="s">
        <v>75</v>
      </c>
      <c r="D742" s="34" t="s">
        <v>71</v>
      </c>
      <c r="E742" s="34" t="s">
        <v>72</v>
      </c>
      <c r="F742" s="35">
        <v>198979</v>
      </c>
      <c r="G742" s="35">
        <v>2089</v>
      </c>
      <c r="H742" s="36">
        <v>1.0500000000000001E-2</v>
      </c>
      <c r="I742" s="37">
        <v>1.7</v>
      </c>
      <c r="J742" s="37">
        <v>3551.3</v>
      </c>
      <c r="K742" s="35">
        <v>66</v>
      </c>
      <c r="L742" s="37">
        <v>53.81</v>
      </c>
      <c r="M742" s="37">
        <v>7694.86</v>
      </c>
      <c r="N742" s="38">
        <v>2.17</v>
      </c>
    </row>
    <row r="743" spans="1:14" x14ac:dyDescent="0.3">
      <c r="A743" s="33">
        <v>45630</v>
      </c>
      <c r="B743" s="34" t="s">
        <v>74</v>
      </c>
      <c r="C743" s="34" t="s">
        <v>61</v>
      </c>
      <c r="D743" s="34" t="s">
        <v>76</v>
      </c>
      <c r="E743" s="34" t="s">
        <v>77</v>
      </c>
      <c r="F743" s="35">
        <v>186740</v>
      </c>
      <c r="G743" s="35">
        <v>4182</v>
      </c>
      <c r="H743" s="36">
        <v>2.24E-2</v>
      </c>
      <c r="I743" s="37">
        <v>0.56000000000000005</v>
      </c>
      <c r="J743" s="37">
        <v>2341.92</v>
      </c>
      <c r="K743" s="35">
        <v>47</v>
      </c>
      <c r="L743" s="37">
        <v>49.83</v>
      </c>
      <c r="M743" s="37">
        <v>8643.08</v>
      </c>
      <c r="N743" s="38">
        <v>3.69</v>
      </c>
    </row>
    <row r="744" spans="1:14" x14ac:dyDescent="0.3">
      <c r="A744" s="33">
        <v>45477</v>
      </c>
      <c r="B744" s="34" t="s">
        <v>60</v>
      </c>
      <c r="C744" s="34" t="s">
        <v>70</v>
      </c>
      <c r="D744" s="34" t="s">
        <v>62</v>
      </c>
      <c r="E744" s="34" t="s">
        <v>78</v>
      </c>
      <c r="F744" s="35">
        <v>126246</v>
      </c>
      <c r="G744" s="35">
        <v>4203</v>
      </c>
      <c r="H744" s="36">
        <v>3.3300000000000003E-2</v>
      </c>
      <c r="I744" s="37">
        <v>2.0499999999999998</v>
      </c>
      <c r="J744" s="37">
        <v>8616.15</v>
      </c>
      <c r="K744" s="35">
        <v>290</v>
      </c>
      <c r="L744" s="37">
        <v>29.71</v>
      </c>
      <c r="M744" s="37">
        <v>31939.46</v>
      </c>
      <c r="N744" s="38">
        <v>3.71</v>
      </c>
    </row>
    <row r="745" spans="1:14" x14ac:dyDescent="0.3">
      <c r="A745" s="33">
        <v>45337</v>
      </c>
      <c r="B745" s="34" t="s">
        <v>60</v>
      </c>
      <c r="C745" s="34" t="s">
        <v>61</v>
      </c>
      <c r="D745" s="34" t="s">
        <v>62</v>
      </c>
      <c r="E745" s="34" t="s">
        <v>72</v>
      </c>
      <c r="F745" s="35">
        <v>30835</v>
      </c>
      <c r="G745" s="35">
        <v>925</v>
      </c>
      <c r="H745" s="36">
        <v>0.03</v>
      </c>
      <c r="I745" s="37">
        <v>1.96</v>
      </c>
      <c r="J745" s="37">
        <v>1813</v>
      </c>
      <c r="K745" s="35">
        <v>14</v>
      </c>
      <c r="L745" s="37">
        <v>129.5</v>
      </c>
      <c r="M745" s="37">
        <v>3805.56</v>
      </c>
      <c r="N745" s="38">
        <v>2.1</v>
      </c>
    </row>
    <row r="746" spans="1:14" x14ac:dyDescent="0.3">
      <c r="A746" s="33">
        <v>45648</v>
      </c>
      <c r="B746" s="34" t="s">
        <v>64</v>
      </c>
      <c r="C746" s="34" t="s">
        <v>67</v>
      </c>
      <c r="D746" s="34" t="s">
        <v>65</v>
      </c>
      <c r="E746" s="34" t="s">
        <v>73</v>
      </c>
      <c r="F746" s="35">
        <v>112938</v>
      </c>
      <c r="G746" s="35">
        <v>3263</v>
      </c>
      <c r="H746" s="36">
        <v>2.8899999999999999E-2</v>
      </c>
      <c r="I746" s="37">
        <v>0.39</v>
      </c>
      <c r="J746" s="37">
        <v>1272.57</v>
      </c>
      <c r="K746" s="35">
        <v>80</v>
      </c>
      <c r="L746" s="37">
        <v>15.91</v>
      </c>
      <c r="M746" s="37">
        <v>22895.07</v>
      </c>
      <c r="N746" s="38">
        <v>17.989999999999998</v>
      </c>
    </row>
    <row r="747" spans="1:14" x14ac:dyDescent="0.3">
      <c r="A747" s="33">
        <v>45642</v>
      </c>
      <c r="B747" s="34" t="s">
        <v>60</v>
      </c>
      <c r="C747" s="34" t="s">
        <v>75</v>
      </c>
      <c r="D747" s="34" t="s">
        <v>71</v>
      </c>
      <c r="E747" s="34" t="s">
        <v>73</v>
      </c>
      <c r="F747" s="35">
        <v>143573</v>
      </c>
      <c r="G747" s="35">
        <v>3474</v>
      </c>
      <c r="H747" s="36">
        <v>2.4199999999999999E-2</v>
      </c>
      <c r="I747" s="37">
        <v>1.63</v>
      </c>
      <c r="J747" s="37">
        <v>5662.62</v>
      </c>
      <c r="K747" s="35">
        <v>131</v>
      </c>
      <c r="L747" s="37">
        <v>43.23</v>
      </c>
      <c r="M747" s="37">
        <v>11434.82</v>
      </c>
      <c r="N747" s="38">
        <v>2.02</v>
      </c>
    </row>
    <row r="748" spans="1:14" x14ac:dyDescent="0.3">
      <c r="A748" s="33">
        <v>45487</v>
      </c>
      <c r="B748" s="34" t="s">
        <v>64</v>
      </c>
      <c r="C748" s="34" t="s">
        <v>75</v>
      </c>
      <c r="D748" s="34" t="s">
        <v>76</v>
      </c>
      <c r="E748" s="34" t="s">
        <v>73</v>
      </c>
      <c r="F748" s="35">
        <v>113621</v>
      </c>
      <c r="G748" s="35">
        <v>10112</v>
      </c>
      <c r="H748" s="36">
        <v>8.8999999999999996E-2</v>
      </c>
      <c r="I748" s="37">
        <v>0.99</v>
      </c>
      <c r="J748" s="37">
        <v>10010.879999999999</v>
      </c>
      <c r="K748" s="35">
        <v>472</v>
      </c>
      <c r="L748" s="37">
        <v>21.21</v>
      </c>
      <c r="M748" s="37">
        <v>84899.73</v>
      </c>
      <c r="N748" s="38">
        <v>8.48</v>
      </c>
    </row>
    <row r="749" spans="1:14" x14ac:dyDescent="0.3">
      <c r="A749" s="33">
        <v>45535</v>
      </c>
      <c r="B749" s="34" t="s">
        <v>74</v>
      </c>
      <c r="C749" s="34" t="s">
        <v>61</v>
      </c>
      <c r="D749" s="34" t="s">
        <v>68</v>
      </c>
      <c r="E749" s="34" t="s">
        <v>66</v>
      </c>
      <c r="F749" s="35">
        <v>125155</v>
      </c>
      <c r="G749" s="35">
        <v>5256</v>
      </c>
      <c r="H749" s="36">
        <v>4.2000000000000003E-2</v>
      </c>
      <c r="I749" s="37">
        <v>1.07</v>
      </c>
      <c r="J749" s="37">
        <v>5623.92</v>
      </c>
      <c r="K749" s="35">
        <v>247</v>
      </c>
      <c r="L749" s="37">
        <v>22.77</v>
      </c>
      <c r="M749" s="37">
        <v>26802.91</v>
      </c>
      <c r="N749" s="38">
        <v>4.7699999999999996</v>
      </c>
    </row>
    <row r="750" spans="1:14" x14ac:dyDescent="0.3">
      <c r="A750" s="33">
        <v>45469</v>
      </c>
      <c r="B750" s="34" t="s">
        <v>74</v>
      </c>
      <c r="C750" s="34" t="s">
        <v>70</v>
      </c>
      <c r="D750" s="34" t="s">
        <v>62</v>
      </c>
      <c r="E750" s="34" t="s">
        <v>69</v>
      </c>
      <c r="F750" s="35">
        <v>52940</v>
      </c>
      <c r="G750" s="35">
        <v>1281</v>
      </c>
      <c r="H750" s="36">
        <v>2.4199999999999999E-2</v>
      </c>
      <c r="I750" s="37">
        <v>1.5</v>
      </c>
      <c r="J750" s="37">
        <v>1921.5</v>
      </c>
      <c r="K750" s="35">
        <v>37</v>
      </c>
      <c r="L750" s="37">
        <v>51.93</v>
      </c>
      <c r="M750" s="37">
        <v>8409.06</v>
      </c>
      <c r="N750" s="38">
        <v>4.38</v>
      </c>
    </row>
    <row r="751" spans="1:14" x14ac:dyDescent="0.3">
      <c r="A751" s="33">
        <v>45536</v>
      </c>
      <c r="B751" s="34" t="s">
        <v>64</v>
      </c>
      <c r="C751" s="34" t="s">
        <v>75</v>
      </c>
      <c r="D751" s="34" t="s">
        <v>71</v>
      </c>
      <c r="E751" s="34" t="s">
        <v>69</v>
      </c>
      <c r="F751" s="35">
        <v>106069</v>
      </c>
      <c r="G751" s="35">
        <v>3139</v>
      </c>
      <c r="H751" s="36">
        <v>2.9600000000000001E-2</v>
      </c>
      <c r="I751" s="37">
        <v>0.5</v>
      </c>
      <c r="J751" s="37">
        <v>1569.5</v>
      </c>
      <c r="K751" s="35">
        <v>78</v>
      </c>
      <c r="L751" s="37">
        <v>20.12</v>
      </c>
      <c r="M751" s="37">
        <v>6648.74</v>
      </c>
      <c r="N751" s="38">
        <v>4.24</v>
      </c>
    </row>
    <row r="752" spans="1:14" x14ac:dyDescent="0.3">
      <c r="A752" s="33">
        <v>45375</v>
      </c>
      <c r="B752" s="34" t="s">
        <v>60</v>
      </c>
      <c r="C752" s="34" t="s">
        <v>67</v>
      </c>
      <c r="D752" s="34" t="s">
        <v>65</v>
      </c>
      <c r="E752" s="34" t="s">
        <v>73</v>
      </c>
      <c r="F752" s="35">
        <v>185523</v>
      </c>
      <c r="G752" s="35">
        <v>6029</v>
      </c>
      <c r="H752" s="36">
        <v>3.2500000000000001E-2</v>
      </c>
      <c r="I752" s="37">
        <v>1.38</v>
      </c>
      <c r="J752" s="37">
        <v>8320.02</v>
      </c>
      <c r="K752" s="35">
        <v>252</v>
      </c>
      <c r="L752" s="37">
        <v>33.020000000000003</v>
      </c>
      <c r="M752" s="37">
        <v>12404.91</v>
      </c>
      <c r="N752" s="38">
        <v>1.49</v>
      </c>
    </row>
    <row r="753" spans="1:14" x14ac:dyDescent="0.3">
      <c r="A753" s="33">
        <v>45607</v>
      </c>
      <c r="B753" s="34" t="s">
        <v>64</v>
      </c>
      <c r="C753" s="34" t="s">
        <v>70</v>
      </c>
      <c r="D753" s="34" t="s">
        <v>65</v>
      </c>
      <c r="E753" s="34" t="s">
        <v>77</v>
      </c>
      <c r="F753" s="35">
        <v>184969</v>
      </c>
      <c r="G753" s="35">
        <v>15407</v>
      </c>
      <c r="H753" s="36">
        <v>8.3299999999999999E-2</v>
      </c>
      <c r="I753" s="37">
        <v>1.34</v>
      </c>
      <c r="J753" s="37">
        <v>20645.38</v>
      </c>
      <c r="K753" s="35">
        <v>352</v>
      </c>
      <c r="L753" s="37">
        <v>58.65</v>
      </c>
      <c r="M753" s="37">
        <v>52669.94</v>
      </c>
      <c r="N753" s="38">
        <v>2.5499999999999998</v>
      </c>
    </row>
    <row r="754" spans="1:14" x14ac:dyDescent="0.3">
      <c r="A754" s="33">
        <v>45650</v>
      </c>
      <c r="B754" s="34" t="s">
        <v>60</v>
      </c>
      <c r="C754" s="34" t="s">
        <v>67</v>
      </c>
      <c r="D754" s="34" t="s">
        <v>68</v>
      </c>
      <c r="E754" s="34" t="s">
        <v>73</v>
      </c>
      <c r="F754" s="35">
        <v>118005</v>
      </c>
      <c r="G754" s="35">
        <v>5003</v>
      </c>
      <c r="H754" s="36">
        <v>4.24E-2</v>
      </c>
      <c r="I754" s="37">
        <v>1.8</v>
      </c>
      <c r="J754" s="37">
        <v>9005.4</v>
      </c>
      <c r="K754" s="35">
        <v>63</v>
      </c>
      <c r="L754" s="37">
        <v>142.94</v>
      </c>
      <c r="M754" s="37">
        <v>6740.12</v>
      </c>
      <c r="N754" s="38">
        <v>0.75</v>
      </c>
    </row>
    <row r="755" spans="1:14" x14ac:dyDescent="0.3">
      <c r="A755" s="33">
        <v>45541</v>
      </c>
      <c r="B755" s="34" t="s">
        <v>60</v>
      </c>
      <c r="C755" s="34" t="s">
        <v>67</v>
      </c>
      <c r="D755" s="34" t="s">
        <v>71</v>
      </c>
      <c r="E755" s="34" t="s">
        <v>77</v>
      </c>
      <c r="F755" s="35">
        <v>47176</v>
      </c>
      <c r="G755" s="35">
        <v>1278</v>
      </c>
      <c r="H755" s="36">
        <v>2.7099999999999999E-2</v>
      </c>
      <c r="I755" s="37">
        <v>1.43</v>
      </c>
      <c r="J755" s="37">
        <v>1827.54</v>
      </c>
      <c r="K755" s="35">
        <v>62</v>
      </c>
      <c r="L755" s="37">
        <v>29.48</v>
      </c>
      <c r="M755" s="37">
        <v>2278.75</v>
      </c>
      <c r="N755" s="38">
        <v>1.25</v>
      </c>
    </row>
    <row r="756" spans="1:14" x14ac:dyDescent="0.3">
      <c r="A756" s="33">
        <v>45636</v>
      </c>
      <c r="B756" s="34" t="s">
        <v>74</v>
      </c>
      <c r="C756" s="34" t="s">
        <v>67</v>
      </c>
      <c r="D756" s="34" t="s">
        <v>62</v>
      </c>
      <c r="E756" s="34" t="s">
        <v>66</v>
      </c>
      <c r="F756" s="35">
        <v>8512</v>
      </c>
      <c r="G756" s="35">
        <v>251</v>
      </c>
      <c r="H756" s="36">
        <v>2.9600000000000001E-2</v>
      </c>
      <c r="I756" s="37">
        <v>0.64</v>
      </c>
      <c r="J756" s="37">
        <v>160.63999999999999</v>
      </c>
      <c r="K756" s="35">
        <v>11</v>
      </c>
      <c r="L756" s="37">
        <v>14.6</v>
      </c>
      <c r="M756" s="37">
        <v>1671.09</v>
      </c>
      <c r="N756" s="38">
        <v>10.4</v>
      </c>
    </row>
    <row r="757" spans="1:14" x14ac:dyDescent="0.3">
      <c r="A757" s="33">
        <v>45460</v>
      </c>
      <c r="B757" s="34" t="s">
        <v>74</v>
      </c>
      <c r="C757" s="34" t="s">
        <v>70</v>
      </c>
      <c r="D757" s="34" t="s">
        <v>65</v>
      </c>
      <c r="E757" s="34" t="s">
        <v>78</v>
      </c>
      <c r="F757" s="35">
        <v>83591</v>
      </c>
      <c r="G757" s="35">
        <v>2499</v>
      </c>
      <c r="H757" s="36">
        <v>2.9899999999999999E-2</v>
      </c>
      <c r="I757" s="37">
        <v>1.68</v>
      </c>
      <c r="J757" s="37">
        <v>4198.32</v>
      </c>
      <c r="K757" s="35">
        <v>84</v>
      </c>
      <c r="L757" s="37">
        <v>49.98</v>
      </c>
      <c r="M757" s="37">
        <v>18620.43</v>
      </c>
      <c r="N757" s="38">
        <v>4.4400000000000004</v>
      </c>
    </row>
    <row r="758" spans="1:14" x14ac:dyDescent="0.3">
      <c r="A758" s="33">
        <v>45468</v>
      </c>
      <c r="B758" s="34" t="s">
        <v>60</v>
      </c>
      <c r="C758" s="34" t="s">
        <v>61</v>
      </c>
      <c r="D758" s="34" t="s">
        <v>76</v>
      </c>
      <c r="E758" s="34" t="s">
        <v>63</v>
      </c>
      <c r="F758" s="35">
        <v>88323</v>
      </c>
      <c r="G758" s="35">
        <v>3965</v>
      </c>
      <c r="H758" s="36">
        <v>4.4900000000000002E-2</v>
      </c>
      <c r="I758" s="37">
        <v>2.36</v>
      </c>
      <c r="J758" s="37">
        <v>9357.4</v>
      </c>
      <c r="K758" s="35">
        <v>95</v>
      </c>
      <c r="L758" s="37">
        <v>98.5</v>
      </c>
      <c r="M758" s="37">
        <v>8337.4</v>
      </c>
      <c r="N758" s="38">
        <v>0.89</v>
      </c>
    </row>
    <row r="759" spans="1:14" x14ac:dyDescent="0.3">
      <c r="A759" s="33">
        <v>45624</v>
      </c>
      <c r="B759" s="34" t="s">
        <v>60</v>
      </c>
      <c r="C759" s="34" t="s">
        <v>67</v>
      </c>
      <c r="D759" s="34" t="s">
        <v>68</v>
      </c>
      <c r="E759" s="34" t="s">
        <v>72</v>
      </c>
      <c r="F759" s="35">
        <v>24755</v>
      </c>
      <c r="G759" s="35">
        <v>811</v>
      </c>
      <c r="H759" s="36">
        <v>3.2800000000000003E-2</v>
      </c>
      <c r="I759" s="37">
        <v>2.48</v>
      </c>
      <c r="J759" s="37">
        <v>2011.28</v>
      </c>
      <c r="K759" s="35">
        <v>8</v>
      </c>
      <c r="L759" s="37">
        <v>251.41</v>
      </c>
      <c r="M759" s="37">
        <v>1786.84</v>
      </c>
      <c r="N759" s="38">
        <v>0.89</v>
      </c>
    </row>
    <row r="760" spans="1:14" x14ac:dyDescent="0.3">
      <c r="A760" s="33">
        <v>45355</v>
      </c>
      <c r="B760" s="34" t="s">
        <v>60</v>
      </c>
      <c r="C760" s="34" t="s">
        <v>67</v>
      </c>
      <c r="D760" s="34" t="s">
        <v>76</v>
      </c>
      <c r="E760" s="34" t="s">
        <v>63</v>
      </c>
      <c r="F760" s="35">
        <v>99410</v>
      </c>
      <c r="G760" s="35">
        <v>4195</v>
      </c>
      <c r="H760" s="36">
        <v>4.2200000000000001E-2</v>
      </c>
      <c r="I760" s="37">
        <v>0.83</v>
      </c>
      <c r="J760" s="37">
        <v>3481.85</v>
      </c>
      <c r="K760" s="35">
        <v>196</v>
      </c>
      <c r="L760" s="37">
        <v>17.760000000000002</v>
      </c>
      <c r="M760" s="37">
        <v>56004.19</v>
      </c>
      <c r="N760" s="38">
        <v>16.079999999999998</v>
      </c>
    </row>
    <row r="761" spans="1:14" x14ac:dyDescent="0.3">
      <c r="A761" s="33">
        <v>45303</v>
      </c>
      <c r="B761" s="34" t="s">
        <v>74</v>
      </c>
      <c r="C761" s="34" t="s">
        <v>67</v>
      </c>
      <c r="D761" s="34" t="s">
        <v>71</v>
      </c>
      <c r="E761" s="34" t="s">
        <v>78</v>
      </c>
      <c r="F761" s="35">
        <v>176250</v>
      </c>
      <c r="G761" s="35">
        <v>6204</v>
      </c>
      <c r="H761" s="36">
        <v>3.5200000000000002E-2</v>
      </c>
      <c r="I761" s="37">
        <v>0.65</v>
      </c>
      <c r="J761" s="37">
        <v>4032.6</v>
      </c>
      <c r="K761" s="35">
        <v>312</v>
      </c>
      <c r="L761" s="37">
        <v>12.92</v>
      </c>
      <c r="M761" s="37">
        <v>84311.3</v>
      </c>
      <c r="N761" s="38">
        <v>20.91</v>
      </c>
    </row>
    <row r="762" spans="1:14" x14ac:dyDescent="0.3">
      <c r="A762" s="33">
        <v>45295</v>
      </c>
      <c r="B762" s="34" t="s">
        <v>74</v>
      </c>
      <c r="C762" s="34" t="s">
        <v>70</v>
      </c>
      <c r="D762" s="34" t="s">
        <v>65</v>
      </c>
      <c r="E762" s="34" t="s">
        <v>66</v>
      </c>
      <c r="F762" s="35">
        <v>184729</v>
      </c>
      <c r="G762" s="35">
        <v>2586</v>
      </c>
      <c r="H762" s="36">
        <v>1.4E-2</v>
      </c>
      <c r="I762" s="37">
        <v>0.9</v>
      </c>
      <c r="J762" s="37">
        <v>2327.4</v>
      </c>
      <c r="K762" s="35">
        <v>201</v>
      </c>
      <c r="L762" s="37">
        <v>11.58</v>
      </c>
      <c r="M762" s="37">
        <v>16864.93</v>
      </c>
      <c r="N762" s="38">
        <v>7.25</v>
      </c>
    </row>
    <row r="763" spans="1:14" x14ac:dyDescent="0.3">
      <c r="A763" s="33">
        <v>45307</v>
      </c>
      <c r="B763" s="34" t="s">
        <v>60</v>
      </c>
      <c r="C763" s="34" t="s">
        <v>61</v>
      </c>
      <c r="D763" s="34" t="s">
        <v>68</v>
      </c>
      <c r="E763" s="34" t="s">
        <v>66</v>
      </c>
      <c r="F763" s="35">
        <v>175381</v>
      </c>
      <c r="G763" s="35">
        <v>4226</v>
      </c>
      <c r="H763" s="36">
        <v>2.41E-2</v>
      </c>
      <c r="I763" s="37">
        <v>0.91</v>
      </c>
      <c r="J763" s="37">
        <v>3845.66</v>
      </c>
      <c r="K763" s="35">
        <v>204</v>
      </c>
      <c r="L763" s="37">
        <v>18.850000000000001</v>
      </c>
      <c r="M763" s="37">
        <v>11471.83</v>
      </c>
      <c r="N763" s="38">
        <v>2.98</v>
      </c>
    </row>
    <row r="764" spans="1:14" x14ac:dyDescent="0.3">
      <c r="A764" s="33">
        <v>45594</v>
      </c>
      <c r="B764" s="34" t="s">
        <v>60</v>
      </c>
      <c r="C764" s="34" t="s">
        <v>67</v>
      </c>
      <c r="D764" s="34" t="s">
        <v>71</v>
      </c>
      <c r="E764" s="34" t="s">
        <v>66</v>
      </c>
      <c r="F764" s="35">
        <v>174741</v>
      </c>
      <c r="G764" s="35">
        <v>7129</v>
      </c>
      <c r="H764" s="36">
        <v>4.0800000000000003E-2</v>
      </c>
      <c r="I764" s="37">
        <v>2.17</v>
      </c>
      <c r="J764" s="37">
        <v>15469.93</v>
      </c>
      <c r="K764" s="35">
        <v>326</v>
      </c>
      <c r="L764" s="37">
        <v>47.45</v>
      </c>
      <c r="M764" s="37">
        <v>58786.78</v>
      </c>
      <c r="N764" s="38">
        <v>3.8</v>
      </c>
    </row>
    <row r="765" spans="1:14" x14ac:dyDescent="0.3">
      <c r="A765" s="33">
        <v>45308</v>
      </c>
      <c r="B765" s="34" t="s">
        <v>74</v>
      </c>
      <c r="C765" s="34" t="s">
        <v>70</v>
      </c>
      <c r="D765" s="34" t="s">
        <v>76</v>
      </c>
      <c r="E765" s="34" t="s">
        <v>72</v>
      </c>
      <c r="F765" s="35">
        <v>62033</v>
      </c>
      <c r="G765" s="35">
        <v>2667</v>
      </c>
      <c r="H765" s="36">
        <v>4.2999999999999997E-2</v>
      </c>
      <c r="I765" s="37">
        <v>1.1000000000000001</v>
      </c>
      <c r="J765" s="37">
        <v>2933.7</v>
      </c>
      <c r="K765" s="35">
        <v>135</v>
      </c>
      <c r="L765" s="37">
        <v>21.73</v>
      </c>
      <c r="M765" s="37">
        <v>14288.2</v>
      </c>
      <c r="N765" s="38">
        <v>4.87</v>
      </c>
    </row>
    <row r="766" spans="1:14" x14ac:dyDescent="0.3">
      <c r="A766" s="33">
        <v>45400</v>
      </c>
      <c r="B766" s="34" t="s">
        <v>64</v>
      </c>
      <c r="C766" s="34" t="s">
        <v>61</v>
      </c>
      <c r="D766" s="34" t="s">
        <v>62</v>
      </c>
      <c r="E766" s="34" t="s">
        <v>73</v>
      </c>
      <c r="F766" s="35">
        <v>6067</v>
      </c>
      <c r="G766" s="35">
        <v>201</v>
      </c>
      <c r="H766" s="36">
        <v>3.32E-2</v>
      </c>
      <c r="I766" s="37">
        <v>0.63</v>
      </c>
      <c r="J766" s="37">
        <v>126.63</v>
      </c>
      <c r="K766" s="35">
        <v>12</v>
      </c>
      <c r="L766" s="37">
        <v>10.55</v>
      </c>
      <c r="M766" s="37">
        <v>2449.2800000000002</v>
      </c>
      <c r="N766" s="38">
        <v>19.34</v>
      </c>
    </row>
    <row r="767" spans="1:14" x14ac:dyDescent="0.3">
      <c r="A767" s="33">
        <v>45449</v>
      </c>
      <c r="B767" s="34" t="s">
        <v>60</v>
      </c>
      <c r="C767" s="34" t="s">
        <v>61</v>
      </c>
      <c r="D767" s="34" t="s">
        <v>71</v>
      </c>
      <c r="E767" s="34" t="s">
        <v>63</v>
      </c>
      <c r="F767" s="35">
        <v>187941</v>
      </c>
      <c r="G767" s="35">
        <v>9303</v>
      </c>
      <c r="H767" s="36">
        <v>4.9500000000000002E-2</v>
      </c>
      <c r="I767" s="37">
        <v>2.33</v>
      </c>
      <c r="J767" s="37">
        <v>21675.99</v>
      </c>
      <c r="K767" s="35">
        <v>528</v>
      </c>
      <c r="L767" s="37">
        <v>41.05</v>
      </c>
      <c r="M767" s="37">
        <v>92564.99</v>
      </c>
      <c r="N767" s="38">
        <v>4.2699999999999996</v>
      </c>
    </row>
    <row r="768" spans="1:14" x14ac:dyDescent="0.3">
      <c r="A768" s="33">
        <v>45588</v>
      </c>
      <c r="B768" s="34" t="s">
        <v>64</v>
      </c>
      <c r="C768" s="34" t="s">
        <v>70</v>
      </c>
      <c r="D768" s="34" t="s">
        <v>65</v>
      </c>
      <c r="E768" s="34" t="s">
        <v>63</v>
      </c>
      <c r="F768" s="35">
        <v>16094</v>
      </c>
      <c r="G768" s="35">
        <v>535</v>
      </c>
      <c r="H768" s="36">
        <v>3.3300000000000003E-2</v>
      </c>
      <c r="I768" s="37">
        <v>1.81</v>
      </c>
      <c r="J768" s="37">
        <v>968.35</v>
      </c>
      <c r="K768" s="35">
        <v>8</v>
      </c>
      <c r="L768" s="37">
        <v>121.04</v>
      </c>
      <c r="M768" s="37">
        <v>469.8</v>
      </c>
      <c r="N768" s="38">
        <v>0.49</v>
      </c>
    </row>
    <row r="769" spans="1:14" x14ac:dyDescent="0.3">
      <c r="A769" s="33">
        <v>45562</v>
      </c>
      <c r="B769" s="34" t="s">
        <v>74</v>
      </c>
      <c r="C769" s="34" t="s">
        <v>75</v>
      </c>
      <c r="D769" s="34" t="s">
        <v>65</v>
      </c>
      <c r="E769" s="34" t="s">
        <v>77</v>
      </c>
      <c r="F769" s="35">
        <v>8599</v>
      </c>
      <c r="G769" s="35">
        <v>258</v>
      </c>
      <c r="H769" s="36">
        <v>3.0099999999999998E-2</v>
      </c>
      <c r="I769" s="37">
        <v>0.65</v>
      </c>
      <c r="J769" s="37">
        <v>167.7</v>
      </c>
      <c r="K769" s="35">
        <v>6</v>
      </c>
      <c r="L769" s="37">
        <v>27.95</v>
      </c>
      <c r="M769" s="37">
        <v>594.69000000000005</v>
      </c>
      <c r="N769" s="38">
        <v>3.55</v>
      </c>
    </row>
    <row r="770" spans="1:14" x14ac:dyDescent="0.3">
      <c r="A770" s="33">
        <v>45298</v>
      </c>
      <c r="B770" s="34" t="s">
        <v>60</v>
      </c>
      <c r="C770" s="34" t="s">
        <v>67</v>
      </c>
      <c r="D770" s="34" t="s">
        <v>62</v>
      </c>
      <c r="E770" s="34" t="s">
        <v>63</v>
      </c>
      <c r="F770" s="35">
        <v>32476</v>
      </c>
      <c r="G770" s="35">
        <v>1136</v>
      </c>
      <c r="H770" s="36">
        <v>3.5000000000000003E-2</v>
      </c>
      <c r="I770" s="37">
        <v>1.64</v>
      </c>
      <c r="J770" s="37">
        <v>1863.04</v>
      </c>
      <c r="K770" s="35">
        <v>86</v>
      </c>
      <c r="L770" s="37">
        <v>21.66</v>
      </c>
      <c r="M770" s="37">
        <v>21754.11</v>
      </c>
      <c r="N770" s="38">
        <v>11.68</v>
      </c>
    </row>
    <row r="771" spans="1:14" x14ac:dyDescent="0.3">
      <c r="A771" s="33">
        <v>45322</v>
      </c>
      <c r="B771" s="34" t="s">
        <v>60</v>
      </c>
      <c r="C771" s="34" t="s">
        <v>75</v>
      </c>
      <c r="D771" s="34" t="s">
        <v>62</v>
      </c>
      <c r="E771" s="34" t="s">
        <v>73</v>
      </c>
      <c r="F771" s="35">
        <v>64739</v>
      </c>
      <c r="G771" s="35">
        <v>1599</v>
      </c>
      <c r="H771" s="36">
        <v>2.47E-2</v>
      </c>
      <c r="I771" s="37">
        <v>3.26</v>
      </c>
      <c r="J771" s="37">
        <v>5212.74</v>
      </c>
      <c r="K771" s="35">
        <v>109</v>
      </c>
      <c r="L771" s="37">
        <v>47.82</v>
      </c>
      <c r="M771" s="37">
        <v>22723.24</v>
      </c>
      <c r="N771" s="38">
        <v>4.3600000000000003</v>
      </c>
    </row>
    <row r="772" spans="1:14" x14ac:dyDescent="0.3">
      <c r="A772" s="33">
        <v>45418</v>
      </c>
      <c r="B772" s="34" t="s">
        <v>60</v>
      </c>
      <c r="C772" s="34" t="s">
        <v>61</v>
      </c>
      <c r="D772" s="34" t="s">
        <v>65</v>
      </c>
      <c r="E772" s="34" t="s">
        <v>66</v>
      </c>
      <c r="F772" s="35">
        <v>51666</v>
      </c>
      <c r="G772" s="35">
        <v>2965</v>
      </c>
      <c r="H772" s="36">
        <v>5.74E-2</v>
      </c>
      <c r="I772" s="37">
        <v>2.92</v>
      </c>
      <c r="J772" s="37">
        <v>8657.7999999999993</v>
      </c>
      <c r="K772" s="35">
        <v>80</v>
      </c>
      <c r="L772" s="37">
        <v>108.22</v>
      </c>
      <c r="M772" s="37">
        <v>16836.59</v>
      </c>
      <c r="N772" s="38">
        <v>1.94</v>
      </c>
    </row>
    <row r="773" spans="1:14" x14ac:dyDescent="0.3">
      <c r="A773" s="33">
        <v>45599</v>
      </c>
      <c r="B773" s="34" t="s">
        <v>74</v>
      </c>
      <c r="C773" s="34" t="s">
        <v>70</v>
      </c>
      <c r="D773" s="34" t="s">
        <v>71</v>
      </c>
      <c r="E773" s="34" t="s">
        <v>77</v>
      </c>
      <c r="F773" s="35">
        <v>39723</v>
      </c>
      <c r="G773" s="35">
        <v>1116</v>
      </c>
      <c r="H773" s="36">
        <v>2.81E-2</v>
      </c>
      <c r="I773" s="37">
        <v>0.95</v>
      </c>
      <c r="J773" s="37">
        <v>1060.2</v>
      </c>
      <c r="K773" s="35">
        <v>14</v>
      </c>
      <c r="L773" s="37">
        <v>75.73</v>
      </c>
      <c r="M773" s="37">
        <v>582.59</v>
      </c>
      <c r="N773" s="38">
        <v>0.55000000000000004</v>
      </c>
    </row>
    <row r="774" spans="1:14" x14ac:dyDescent="0.3">
      <c r="A774" s="33">
        <v>45638</v>
      </c>
      <c r="B774" s="34" t="s">
        <v>64</v>
      </c>
      <c r="C774" s="34" t="s">
        <v>61</v>
      </c>
      <c r="D774" s="34" t="s">
        <v>68</v>
      </c>
      <c r="E774" s="34" t="s">
        <v>73</v>
      </c>
      <c r="F774" s="35">
        <v>163984</v>
      </c>
      <c r="G774" s="35">
        <v>12971</v>
      </c>
      <c r="H774" s="36">
        <v>7.9100000000000004E-2</v>
      </c>
      <c r="I774" s="37">
        <v>1.68</v>
      </c>
      <c r="J774" s="37">
        <v>21791.279999999999</v>
      </c>
      <c r="K774" s="35">
        <v>962</v>
      </c>
      <c r="L774" s="37">
        <v>22.65</v>
      </c>
      <c r="M774" s="37">
        <v>170813.74</v>
      </c>
      <c r="N774" s="38">
        <v>7.84</v>
      </c>
    </row>
    <row r="775" spans="1:14" x14ac:dyDescent="0.3">
      <c r="A775" s="33">
        <v>45301</v>
      </c>
      <c r="B775" s="34" t="s">
        <v>74</v>
      </c>
      <c r="C775" s="34" t="s">
        <v>67</v>
      </c>
      <c r="D775" s="34" t="s">
        <v>62</v>
      </c>
      <c r="E775" s="34" t="s">
        <v>78</v>
      </c>
      <c r="F775" s="35">
        <v>51698</v>
      </c>
      <c r="G775" s="35">
        <v>1307</v>
      </c>
      <c r="H775" s="36">
        <v>2.53E-2</v>
      </c>
      <c r="I775" s="37">
        <v>1.96</v>
      </c>
      <c r="J775" s="37">
        <v>2561.7199999999998</v>
      </c>
      <c r="K775" s="35">
        <v>91</v>
      </c>
      <c r="L775" s="37">
        <v>28.15</v>
      </c>
      <c r="M775" s="37">
        <v>15551.2</v>
      </c>
      <c r="N775" s="38">
        <v>6.07</v>
      </c>
    </row>
    <row r="776" spans="1:14" x14ac:dyDescent="0.3">
      <c r="A776" s="33">
        <v>45338</v>
      </c>
      <c r="B776" s="34" t="s">
        <v>60</v>
      </c>
      <c r="C776" s="34" t="s">
        <v>70</v>
      </c>
      <c r="D776" s="34" t="s">
        <v>71</v>
      </c>
      <c r="E776" s="34" t="s">
        <v>63</v>
      </c>
      <c r="F776" s="35">
        <v>50206</v>
      </c>
      <c r="G776" s="35">
        <v>2399</v>
      </c>
      <c r="H776" s="36">
        <v>4.7800000000000002E-2</v>
      </c>
      <c r="I776" s="37">
        <v>2.02</v>
      </c>
      <c r="J776" s="37">
        <v>4845.9799999999996</v>
      </c>
      <c r="K776" s="35">
        <v>163</v>
      </c>
      <c r="L776" s="37">
        <v>29.73</v>
      </c>
      <c r="M776" s="37">
        <v>5571.38</v>
      </c>
      <c r="N776" s="38">
        <v>1.1499999999999999</v>
      </c>
    </row>
    <row r="777" spans="1:14" x14ac:dyDescent="0.3">
      <c r="A777" s="33">
        <v>45573</v>
      </c>
      <c r="B777" s="34" t="s">
        <v>60</v>
      </c>
      <c r="C777" s="34" t="s">
        <v>67</v>
      </c>
      <c r="D777" s="34" t="s">
        <v>62</v>
      </c>
      <c r="E777" s="34" t="s">
        <v>63</v>
      </c>
      <c r="F777" s="35">
        <v>194099</v>
      </c>
      <c r="G777" s="35">
        <v>4774</v>
      </c>
      <c r="H777" s="36">
        <v>2.46E-2</v>
      </c>
      <c r="I777" s="37">
        <v>2.4900000000000002</v>
      </c>
      <c r="J777" s="37">
        <v>11887.26</v>
      </c>
      <c r="K777" s="35">
        <v>134</v>
      </c>
      <c r="L777" s="37">
        <v>88.71</v>
      </c>
      <c r="M777" s="37">
        <v>8446.2099999999991</v>
      </c>
      <c r="N777" s="38">
        <v>0.71</v>
      </c>
    </row>
    <row r="778" spans="1:14" x14ac:dyDescent="0.3">
      <c r="A778" s="33">
        <v>45655</v>
      </c>
      <c r="B778" s="34" t="s">
        <v>64</v>
      </c>
      <c r="C778" s="34" t="s">
        <v>67</v>
      </c>
      <c r="D778" s="34" t="s">
        <v>76</v>
      </c>
      <c r="E778" s="34" t="s">
        <v>69</v>
      </c>
      <c r="F778" s="35">
        <v>11820</v>
      </c>
      <c r="G778" s="35">
        <v>366</v>
      </c>
      <c r="H778" s="36">
        <v>3.1E-2</v>
      </c>
      <c r="I778" s="37">
        <v>1.72</v>
      </c>
      <c r="J778" s="37">
        <v>629.52</v>
      </c>
      <c r="K778" s="35">
        <v>12</v>
      </c>
      <c r="L778" s="37">
        <v>52.46</v>
      </c>
      <c r="M778" s="37">
        <v>2301.9899999999998</v>
      </c>
      <c r="N778" s="38">
        <v>3.66</v>
      </c>
    </row>
    <row r="779" spans="1:14" x14ac:dyDescent="0.3">
      <c r="A779" s="33">
        <v>45642</v>
      </c>
      <c r="B779" s="34" t="s">
        <v>64</v>
      </c>
      <c r="C779" s="34" t="s">
        <v>61</v>
      </c>
      <c r="D779" s="34" t="s">
        <v>71</v>
      </c>
      <c r="E779" s="34" t="s">
        <v>69</v>
      </c>
      <c r="F779" s="35">
        <v>56782</v>
      </c>
      <c r="G779" s="35">
        <v>3264</v>
      </c>
      <c r="H779" s="36">
        <v>5.7500000000000002E-2</v>
      </c>
      <c r="I779" s="37">
        <v>0.8</v>
      </c>
      <c r="J779" s="37">
        <v>2611.1999999999998</v>
      </c>
      <c r="K779" s="35">
        <v>154</v>
      </c>
      <c r="L779" s="37">
        <v>16.96</v>
      </c>
      <c r="M779" s="37">
        <v>15749.58</v>
      </c>
      <c r="N779" s="38">
        <v>6.03</v>
      </c>
    </row>
    <row r="780" spans="1:14" x14ac:dyDescent="0.3">
      <c r="A780" s="33">
        <v>45517</v>
      </c>
      <c r="B780" s="34" t="s">
        <v>64</v>
      </c>
      <c r="C780" s="34" t="s">
        <v>67</v>
      </c>
      <c r="D780" s="34" t="s">
        <v>71</v>
      </c>
      <c r="E780" s="34" t="s">
        <v>66</v>
      </c>
      <c r="F780" s="35">
        <v>191894</v>
      </c>
      <c r="G780" s="35">
        <v>7138</v>
      </c>
      <c r="H780" s="36">
        <v>3.7199999999999997E-2</v>
      </c>
      <c r="I780" s="37">
        <v>0.77</v>
      </c>
      <c r="J780" s="37">
        <v>5496.26</v>
      </c>
      <c r="K780" s="35">
        <v>380</v>
      </c>
      <c r="L780" s="37">
        <v>14.46</v>
      </c>
      <c r="M780" s="37">
        <v>85112.1</v>
      </c>
      <c r="N780" s="38">
        <v>15.49</v>
      </c>
    </row>
    <row r="781" spans="1:14" x14ac:dyDescent="0.3">
      <c r="A781" s="33">
        <v>45310</v>
      </c>
      <c r="B781" s="34" t="s">
        <v>60</v>
      </c>
      <c r="C781" s="34" t="s">
        <v>70</v>
      </c>
      <c r="D781" s="34" t="s">
        <v>62</v>
      </c>
      <c r="E781" s="34" t="s">
        <v>66</v>
      </c>
      <c r="F781" s="35">
        <v>55075</v>
      </c>
      <c r="G781" s="35">
        <v>3056</v>
      </c>
      <c r="H781" s="36">
        <v>5.5500000000000001E-2</v>
      </c>
      <c r="I781" s="37">
        <v>2.36</v>
      </c>
      <c r="J781" s="37">
        <v>7212.16</v>
      </c>
      <c r="K781" s="35">
        <v>156</v>
      </c>
      <c r="L781" s="37">
        <v>46.23</v>
      </c>
      <c r="M781" s="37">
        <v>5145.3100000000004</v>
      </c>
      <c r="N781" s="38">
        <v>0.71</v>
      </c>
    </row>
    <row r="782" spans="1:14" x14ac:dyDescent="0.3">
      <c r="A782" s="33">
        <v>45410</v>
      </c>
      <c r="B782" s="34" t="s">
        <v>60</v>
      </c>
      <c r="C782" s="34" t="s">
        <v>70</v>
      </c>
      <c r="D782" s="34" t="s">
        <v>65</v>
      </c>
      <c r="E782" s="34" t="s">
        <v>77</v>
      </c>
      <c r="F782" s="35">
        <v>81830</v>
      </c>
      <c r="G782" s="35">
        <v>4091</v>
      </c>
      <c r="H782" s="36">
        <v>0.05</v>
      </c>
      <c r="I782" s="37">
        <v>1.45</v>
      </c>
      <c r="J782" s="37">
        <v>5931.95</v>
      </c>
      <c r="K782" s="35">
        <v>49</v>
      </c>
      <c r="L782" s="37">
        <v>121.06</v>
      </c>
      <c r="M782" s="37">
        <v>7206.83</v>
      </c>
      <c r="N782" s="38">
        <v>1.21</v>
      </c>
    </row>
    <row r="783" spans="1:14" x14ac:dyDescent="0.3">
      <c r="A783" s="33">
        <v>45643</v>
      </c>
      <c r="B783" s="34" t="s">
        <v>74</v>
      </c>
      <c r="C783" s="34" t="s">
        <v>61</v>
      </c>
      <c r="D783" s="34" t="s">
        <v>65</v>
      </c>
      <c r="E783" s="34" t="s">
        <v>69</v>
      </c>
      <c r="F783" s="35">
        <v>87911</v>
      </c>
      <c r="G783" s="35">
        <v>1116</v>
      </c>
      <c r="H783" s="36">
        <v>1.2699999999999999E-2</v>
      </c>
      <c r="I783" s="37">
        <v>0.48</v>
      </c>
      <c r="J783" s="37">
        <v>535.67999999999995</v>
      </c>
      <c r="K783" s="35">
        <v>61</v>
      </c>
      <c r="L783" s="37">
        <v>8.7799999999999994</v>
      </c>
      <c r="M783" s="37">
        <v>16688.84</v>
      </c>
      <c r="N783" s="38">
        <v>31.15</v>
      </c>
    </row>
    <row r="784" spans="1:14" x14ac:dyDescent="0.3">
      <c r="A784" s="33">
        <v>45550</v>
      </c>
      <c r="B784" s="34" t="s">
        <v>74</v>
      </c>
      <c r="C784" s="34" t="s">
        <v>61</v>
      </c>
      <c r="D784" s="34" t="s">
        <v>71</v>
      </c>
      <c r="E784" s="34" t="s">
        <v>73</v>
      </c>
      <c r="F784" s="35">
        <v>9521</v>
      </c>
      <c r="G784" s="35">
        <v>237</v>
      </c>
      <c r="H784" s="36">
        <v>2.4899999999999999E-2</v>
      </c>
      <c r="I784" s="37">
        <v>1.77</v>
      </c>
      <c r="J784" s="37">
        <v>419.49</v>
      </c>
      <c r="K784" s="35">
        <v>17</v>
      </c>
      <c r="L784" s="37">
        <v>24.68</v>
      </c>
      <c r="M784" s="37">
        <v>1502.31</v>
      </c>
      <c r="N784" s="38">
        <v>3.58</v>
      </c>
    </row>
    <row r="785" spans="1:14" x14ac:dyDescent="0.3">
      <c r="A785" s="33">
        <v>45396</v>
      </c>
      <c r="B785" s="34" t="s">
        <v>64</v>
      </c>
      <c r="C785" s="34" t="s">
        <v>61</v>
      </c>
      <c r="D785" s="34" t="s">
        <v>76</v>
      </c>
      <c r="E785" s="34" t="s">
        <v>66</v>
      </c>
      <c r="F785" s="35">
        <v>88115</v>
      </c>
      <c r="G785" s="35">
        <v>5383</v>
      </c>
      <c r="H785" s="36">
        <v>6.1100000000000002E-2</v>
      </c>
      <c r="I785" s="37">
        <v>0.68</v>
      </c>
      <c r="J785" s="37">
        <v>3660.44</v>
      </c>
      <c r="K785" s="35">
        <v>121</v>
      </c>
      <c r="L785" s="37">
        <v>30.25</v>
      </c>
      <c r="M785" s="37">
        <v>28357.39</v>
      </c>
      <c r="N785" s="38">
        <v>7.75</v>
      </c>
    </row>
    <row r="786" spans="1:14" x14ac:dyDescent="0.3">
      <c r="A786" s="33">
        <v>45467</v>
      </c>
      <c r="B786" s="34" t="s">
        <v>60</v>
      </c>
      <c r="C786" s="34" t="s">
        <v>70</v>
      </c>
      <c r="D786" s="34" t="s">
        <v>76</v>
      </c>
      <c r="E786" s="34" t="s">
        <v>72</v>
      </c>
      <c r="F786" s="35">
        <v>184030</v>
      </c>
      <c r="G786" s="35">
        <v>5649</v>
      </c>
      <c r="H786" s="36">
        <v>3.0700000000000002E-2</v>
      </c>
      <c r="I786" s="37">
        <v>2.23</v>
      </c>
      <c r="J786" s="37">
        <v>12597.27</v>
      </c>
      <c r="K786" s="35">
        <v>90</v>
      </c>
      <c r="L786" s="37">
        <v>139.97</v>
      </c>
      <c r="M786" s="37">
        <v>23192.98</v>
      </c>
      <c r="N786" s="38">
        <v>1.84</v>
      </c>
    </row>
    <row r="787" spans="1:14" x14ac:dyDescent="0.3">
      <c r="A787" s="33">
        <v>45525</v>
      </c>
      <c r="B787" s="34" t="s">
        <v>74</v>
      </c>
      <c r="C787" s="34" t="s">
        <v>67</v>
      </c>
      <c r="D787" s="34" t="s">
        <v>65</v>
      </c>
      <c r="E787" s="34" t="s">
        <v>66</v>
      </c>
      <c r="F787" s="35">
        <v>151729</v>
      </c>
      <c r="G787" s="35">
        <v>4491</v>
      </c>
      <c r="H787" s="36">
        <v>2.9600000000000001E-2</v>
      </c>
      <c r="I787" s="37">
        <v>1.85</v>
      </c>
      <c r="J787" s="37">
        <v>8308.35</v>
      </c>
      <c r="K787" s="35">
        <v>228</v>
      </c>
      <c r="L787" s="37">
        <v>36.44</v>
      </c>
      <c r="M787" s="37">
        <v>48165.440000000002</v>
      </c>
      <c r="N787" s="38">
        <v>5.8</v>
      </c>
    </row>
    <row r="788" spans="1:14" x14ac:dyDescent="0.3">
      <c r="A788" s="33">
        <v>45346</v>
      </c>
      <c r="B788" s="34" t="s">
        <v>64</v>
      </c>
      <c r="C788" s="34" t="s">
        <v>67</v>
      </c>
      <c r="D788" s="34" t="s">
        <v>71</v>
      </c>
      <c r="E788" s="34" t="s">
        <v>77</v>
      </c>
      <c r="F788" s="35">
        <v>68176</v>
      </c>
      <c r="G788" s="35">
        <v>2679</v>
      </c>
      <c r="H788" s="36">
        <v>3.9300000000000002E-2</v>
      </c>
      <c r="I788" s="37">
        <v>1.24</v>
      </c>
      <c r="J788" s="37">
        <v>3321.96</v>
      </c>
      <c r="K788" s="35">
        <v>173</v>
      </c>
      <c r="L788" s="37">
        <v>19.2</v>
      </c>
      <c r="M788" s="37">
        <v>19288.91</v>
      </c>
      <c r="N788" s="38">
        <v>5.81</v>
      </c>
    </row>
    <row r="789" spans="1:14" x14ac:dyDescent="0.3">
      <c r="A789" s="33">
        <v>45577</v>
      </c>
      <c r="B789" s="34" t="s">
        <v>74</v>
      </c>
      <c r="C789" s="34" t="s">
        <v>70</v>
      </c>
      <c r="D789" s="34" t="s">
        <v>68</v>
      </c>
      <c r="E789" s="34" t="s">
        <v>63</v>
      </c>
      <c r="F789" s="35">
        <v>160136</v>
      </c>
      <c r="G789" s="35">
        <v>6581</v>
      </c>
      <c r="H789" s="36">
        <v>4.1099999999999998E-2</v>
      </c>
      <c r="I789" s="37">
        <v>0.4</v>
      </c>
      <c r="J789" s="37">
        <v>2632.4</v>
      </c>
      <c r="K789" s="35">
        <v>393</v>
      </c>
      <c r="L789" s="37">
        <v>6.7</v>
      </c>
      <c r="M789" s="37">
        <v>81942.570000000007</v>
      </c>
      <c r="N789" s="38">
        <v>31.13</v>
      </c>
    </row>
    <row r="790" spans="1:14" x14ac:dyDescent="0.3">
      <c r="A790" s="33">
        <v>45404</v>
      </c>
      <c r="B790" s="34" t="s">
        <v>60</v>
      </c>
      <c r="C790" s="34" t="s">
        <v>67</v>
      </c>
      <c r="D790" s="34" t="s">
        <v>68</v>
      </c>
      <c r="E790" s="34" t="s">
        <v>73</v>
      </c>
      <c r="F790" s="35">
        <v>164504</v>
      </c>
      <c r="G790" s="35">
        <v>3322</v>
      </c>
      <c r="H790" s="36">
        <v>2.0199999999999999E-2</v>
      </c>
      <c r="I790" s="37">
        <v>2.0699999999999998</v>
      </c>
      <c r="J790" s="37">
        <v>6876.54</v>
      </c>
      <c r="K790" s="35">
        <v>96</v>
      </c>
      <c r="L790" s="37">
        <v>71.63</v>
      </c>
      <c r="M790" s="37">
        <v>10570.76</v>
      </c>
      <c r="N790" s="38">
        <v>1.54</v>
      </c>
    </row>
    <row r="791" spans="1:14" x14ac:dyDescent="0.3">
      <c r="A791" s="33">
        <v>45402</v>
      </c>
      <c r="B791" s="34" t="s">
        <v>64</v>
      </c>
      <c r="C791" s="34" t="s">
        <v>75</v>
      </c>
      <c r="D791" s="34" t="s">
        <v>68</v>
      </c>
      <c r="E791" s="34" t="s">
        <v>78</v>
      </c>
      <c r="F791" s="35">
        <v>111399</v>
      </c>
      <c r="G791" s="35">
        <v>4155</v>
      </c>
      <c r="H791" s="36">
        <v>3.73E-2</v>
      </c>
      <c r="I791" s="37">
        <v>1.22</v>
      </c>
      <c r="J791" s="37">
        <v>5069.1000000000004</v>
      </c>
      <c r="K791" s="35">
        <v>176</v>
      </c>
      <c r="L791" s="37">
        <v>28.8</v>
      </c>
      <c r="M791" s="37">
        <v>18559.099999999999</v>
      </c>
      <c r="N791" s="38">
        <v>3.66</v>
      </c>
    </row>
    <row r="792" spans="1:14" x14ac:dyDescent="0.3">
      <c r="A792" s="33">
        <v>45502</v>
      </c>
      <c r="B792" s="34" t="s">
        <v>60</v>
      </c>
      <c r="C792" s="34" t="s">
        <v>61</v>
      </c>
      <c r="D792" s="34" t="s">
        <v>76</v>
      </c>
      <c r="E792" s="34" t="s">
        <v>72</v>
      </c>
      <c r="F792" s="35">
        <v>135011</v>
      </c>
      <c r="G792" s="35">
        <v>3496</v>
      </c>
      <c r="H792" s="36">
        <v>2.5899999999999999E-2</v>
      </c>
      <c r="I792" s="37">
        <v>1.89</v>
      </c>
      <c r="J792" s="37">
        <v>6607.44</v>
      </c>
      <c r="K792" s="35">
        <v>254</v>
      </c>
      <c r="L792" s="37">
        <v>26.01</v>
      </c>
      <c r="M792" s="37">
        <v>69461.440000000002</v>
      </c>
      <c r="N792" s="38">
        <v>10.51</v>
      </c>
    </row>
    <row r="793" spans="1:14" x14ac:dyDescent="0.3">
      <c r="A793" s="33">
        <v>45508</v>
      </c>
      <c r="B793" s="34" t="s">
        <v>60</v>
      </c>
      <c r="C793" s="34" t="s">
        <v>75</v>
      </c>
      <c r="D793" s="34" t="s">
        <v>68</v>
      </c>
      <c r="E793" s="34" t="s">
        <v>69</v>
      </c>
      <c r="F793" s="35">
        <v>24359</v>
      </c>
      <c r="G793" s="35">
        <v>1461</v>
      </c>
      <c r="H793" s="36">
        <v>0.06</v>
      </c>
      <c r="I793" s="37">
        <v>2.34</v>
      </c>
      <c r="J793" s="37">
        <v>3418.74</v>
      </c>
      <c r="K793" s="35">
        <v>35</v>
      </c>
      <c r="L793" s="37">
        <v>97.68</v>
      </c>
      <c r="M793" s="37">
        <v>4110.3900000000003</v>
      </c>
      <c r="N793" s="38">
        <v>1.2</v>
      </c>
    </row>
    <row r="794" spans="1:14" x14ac:dyDescent="0.3">
      <c r="A794" s="33">
        <v>45435</v>
      </c>
      <c r="B794" s="34" t="s">
        <v>74</v>
      </c>
      <c r="C794" s="34" t="s">
        <v>70</v>
      </c>
      <c r="D794" s="34" t="s">
        <v>68</v>
      </c>
      <c r="E794" s="34" t="s">
        <v>66</v>
      </c>
      <c r="F794" s="35">
        <v>130611</v>
      </c>
      <c r="G794" s="35">
        <v>2207</v>
      </c>
      <c r="H794" s="36">
        <v>1.6899999999999998E-2</v>
      </c>
      <c r="I794" s="37">
        <v>0.73</v>
      </c>
      <c r="J794" s="37">
        <v>1611.11</v>
      </c>
      <c r="K794" s="35">
        <v>44</v>
      </c>
      <c r="L794" s="37">
        <v>36.619999999999997</v>
      </c>
      <c r="M794" s="37">
        <v>9567.41</v>
      </c>
      <c r="N794" s="38">
        <v>5.94</v>
      </c>
    </row>
    <row r="795" spans="1:14" x14ac:dyDescent="0.3">
      <c r="A795" s="33">
        <v>45629</v>
      </c>
      <c r="B795" s="34" t="s">
        <v>64</v>
      </c>
      <c r="C795" s="34" t="s">
        <v>61</v>
      </c>
      <c r="D795" s="34" t="s">
        <v>71</v>
      </c>
      <c r="E795" s="34" t="s">
        <v>66</v>
      </c>
      <c r="F795" s="35">
        <v>156601</v>
      </c>
      <c r="G795" s="35">
        <v>8628</v>
      </c>
      <c r="H795" s="36">
        <v>5.5100000000000003E-2</v>
      </c>
      <c r="I795" s="37">
        <v>0.31</v>
      </c>
      <c r="J795" s="37">
        <v>2674.68</v>
      </c>
      <c r="K795" s="35">
        <v>362</v>
      </c>
      <c r="L795" s="37">
        <v>7.39</v>
      </c>
      <c r="M795" s="37">
        <v>23745.71</v>
      </c>
      <c r="N795" s="38">
        <v>8.8800000000000008</v>
      </c>
    </row>
    <row r="796" spans="1:14" x14ac:dyDescent="0.3">
      <c r="A796" s="33">
        <v>45625</v>
      </c>
      <c r="B796" s="34" t="s">
        <v>74</v>
      </c>
      <c r="C796" s="34" t="s">
        <v>61</v>
      </c>
      <c r="D796" s="34" t="s">
        <v>71</v>
      </c>
      <c r="E796" s="34" t="s">
        <v>72</v>
      </c>
      <c r="F796" s="35">
        <v>172967</v>
      </c>
      <c r="G796" s="35">
        <v>5016</v>
      </c>
      <c r="H796" s="36">
        <v>2.9000000000000001E-2</v>
      </c>
      <c r="I796" s="37">
        <v>2.08</v>
      </c>
      <c r="J796" s="37">
        <v>10433.280000000001</v>
      </c>
      <c r="K796" s="35">
        <v>331</v>
      </c>
      <c r="L796" s="37">
        <v>31.52</v>
      </c>
      <c r="M796" s="37">
        <v>75767.62</v>
      </c>
      <c r="N796" s="38">
        <v>7.26</v>
      </c>
    </row>
    <row r="797" spans="1:14" x14ac:dyDescent="0.3">
      <c r="A797" s="33">
        <v>45395</v>
      </c>
      <c r="B797" s="34" t="s">
        <v>60</v>
      </c>
      <c r="C797" s="34" t="s">
        <v>70</v>
      </c>
      <c r="D797" s="34" t="s">
        <v>71</v>
      </c>
      <c r="E797" s="34" t="s">
        <v>73</v>
      </c>
      <c r="F797" s="35">
        <v>165104</v>
      </c>
      <c r="G797" s="35">
        <v>7958</v>
      </c>
      <c r="H797" s="36">
        <v>4.82E-2</v>
      </c>
      <c r="I797" s="37">
        <v>3.09</v>
      </c>
      <c r="J797" s="37">
        <v>24590.22</v>
      </c>
      <c r="K797" s="35">
        <v>105</v>
      </c>
      <c r="L797" s="37">
        <v>234.19</v>
      </c>
      <c r="M797" s="37">
        <v>29946.1</v>
      </c>
      <c r="N797" s="38">
        <v>1.22</v>
      </c>
    </row>
    <row r="798" spans="1:14" x14ac:dyDescent="0.3">
      <c r="A798" s="33">
        <v>45308</v>
      </c>
      <c r="B798" s="34" t="s">
        <v>60</v>
      </c>
      <c r="C798" s="34" t="s">
        <v>67</v>
      </c>
      <c r="D798" s="34" t="s">
        <v>62</v>
      </c>
      <c r="E798" s="34" t="s">
        <v>73</v>
      </c>
      <c r="F798" s="35">
        <v>49109</v>
      </c>
      <c r="G798" s="35">
        <v>1203</v>
      </c>
      <c r="H798" s="36">
        <v>2.4500000000000001E-2</v>
      </c>
      <c r="I798" s="37">
        <v>3.26</v>
      </c>
      <c r="J798" s="37">
        <v>3921.78</v>
      </c>
      <c r="K798" s="35">
        <v>25</v>
      </c>
      <c r="L798" s="37">
        <v>156.87</v>
      </c>
      <c r="M798" s="37">
        <v>4734.6099999999997</v>
      </c>
      <c r="N798" s="38">
        <v>1.21</v>
      </c>
    </row>
    <row r="799" spans="1:14" x14ac:dyDescent="0.3">
      <c r="A799" s="33">
        <v>45651</v>
      </c>
      <c r="B799" s="34" t="s">
        <v>74</v>
      </c>
      <c r="C799" s="34" t="s">
        <v>70</v>
      </c>
      <c r="D799" s="34" t="s">
        <v>71</v>
      </c>
      <c r="E799" s="34" t="s">
        <v>66</v>
      </c>
      <c r="F799" s="35">
        <v>46291</v>
      </c>
      <c r="G799" s="35">
        <v>1976</v>
      </c>
      <c r="H799" s="36">
        <v>4.2700000000000002E-2</v>
      </c>
      <c r="I799" s="37">
        <v>0.73</v>
      </c>
      <c r="J799" s="37">
        <v>1442.48</v>
      </c>
      <c r="K799" s="35">
        <v>74</v>
      </c>
      <c r="L799" s="37">
        <v>19.489999999999998</v>
      </c>
      <c r="M799" s="37">
        <v>2307.39</v>
      </c>
      <c r="N799" s="38">
        <v>1.6</v>
      </c>
    </row>
    <row r="800" spans="1:14" x14ac:dyDescent="0.3">
      <c r="A800" s="33">
        <v>45506</v>
      </c>
      <c r="B800" s="34" t="s">
        <v>60</v>
      </c>
      <c r="C800" s="34" t="s">
        <v>67</v>
      </c>
      <c r="D800" s="34" t="s">
        <v>62</v>
      </c>
      <c r="E800" s="34" t="s">
        <v>72</v>
      </c>
      <c r="F800" s="35">
        <v>33750</v>
      </c>
      <c r="G800" s="35">
        <v>1410</v>
      </c>
      <c r="H800" s="36">
        <v>4.1799999999999997E-2</v>
      </c>
      <c r="I800" s="37">
        <v>1.91</v>
      </c>
      <c r="J800" s="37">
        <v>2693.1</v>
      </c>
      <c r="K800" s="35">
        <v>106</v>
      </c>
      <c r="L800" s="37">
        <v>25.41</v>
      </c>
      <c r="M800" s="37">
        <v>5682.79</v>
      </c>
      <c r="N800" s="38">
        <v>2.11</v>
      </c>
    </row>
    <row r="801" spans="1:14" x14ac:dyDescent="0.3">
      <c r="A801" s="33">
        <v>45317</v>
      </c>
      <c r="B801" s="34" t="s">
        <v>74</v>
      </c>
      <c r="C801" s="34" t="s">
        <v>61</v>
      </c>
      <c r="D801" s="34" t="s">
        <v>68</v>
      </c>
      <c r="E801" s="34" t="s">
        <v>69</v>
      </c>
      <c r="F801" s="35">
        <v>177593</v>
      </c>
      <c r="G801" s="35">
        <v>1811</v>
      </c>
      <c r="H801" s="36">
        <v>1.0200000000000001E-2</v>
      </c>
      <c r="I801" s="37">
        <v>0.79</v>
      </c>
      <c r="J801" s="37">
        <v>1430.69</v>
      </c>
      <c r="K801" s="35">
        <v>128</v>
      </c>
      <c r="L801" s="37">
        <v>11.18</v>
      </c>
      <c r="M801" s="37">
        <v>17092.48</v>
      </c>
      <c r="N801" s="38">
        <v>11.95</v>
      </c>
    </row>
    <row r="802" spans="1:14" x14ac:dyDescent="0.3">
      <c r="A802" s="33">
        <v>45374</v>
      </c>
      <c r="B802" s="34" t="s">
        <v>60</v>
      </c>
      <c r="C802" s="34" t="s">
        <v>75</v>
      </c>
      <c r="D802" s="34" t="s">
        <v>71</v>
      </c>
      <c r="E802" s="34" t="s">
        <v>77</v>
      </c>
      <c r="F802" s="35">
        <v>150465</v>
      </c>
      <c r="G802" s="35">
        <v>5311</v>
      </c>
      <c r="H802" s="36">
        <v>3.5299999999999998E-2</v>
      </c>
      <c r="I802" s="37">
        <v>3.13</v>
      </c>
      <c r="J802" s="37">
        <v>16623.43</v>
      </c>
      <c r="K802" s="35">
        <v>295</v>
      </c>
      <c r="L802" s="37">
        <v>56.35</v>
      </c>
      <c r="M802" s="37">
        <v>57602.12</v>
      </c>
      <c r="N802" s="38">
        <v>3.47</v>
      </c>
    </row>
    <row r="803" spans="1:14" x14ac:dyDescent="0.3">
      <c r="A803" s="33">
        <v>45634</v>
      </c>
      <c r="B803" s="34" t="s">
        <v>64</v>
      </c>
      <c r="C803" s="34" t="s">
        <v>70</v>
      </c>
      <c r="D803" s="34" t="s">
        <v>71</v>
      </c>
      <c r="E803" s="34" t="s">
        <v>73</v>
      </c>
      <c r="F803" s="35">
        <v>25860</v>
      </c>
      <c r="G803" s="35">
        <v>1569</v>
      </c>
      <c r="H803" s="36">
        <v>6.0699999999999997E-2</v>
      </c>
      <c r="I803" s="37">
        <v>1.08</v>
      </c>
      <c r="J803" s="37">
        <v>1694.52</v>
      </c>
      <c r="K803" s="35">
        <v>79</v>
      </c>
      <c r="L803" s="37">
        <v>21.45</v>
      </c>
      <c r="M803" s="37">
        <v>13162.62</v>
      </c>
      <c r="N803" s="38">
        <v>7.77</v>
      </c>
    </row>
    <row r="804" spans="1:14" x14ac:dyDescent="0.3">
      <c r="A804" s="33">
        <v>45521</v>
      </c>
      <c r="B804" s="34" t="s">
        <v>60</v>
      </c>
      <c r="C804" s="34" t="s">
        <v>75</v>
      </c>
      <c r="D804" s="34" t="s">
        <v>71</v>
      </c>
      <c r="E804" s="34" t="s">
        <v>72</v>
      </c>
      <c r="F804" s="35">
        <v>41375</v>
      </c>
      <c r="G804" s="35">
        <v>2350</v>
      </c>
      <c r="H804" s="36">
        <v>5.6800000000000003E-2</v>
      </c>
      <c r="I804" s="37">
        <v>2.2000000000000002</v>
      </c>
      <c r="J804" s="37">
        <v>5170</v>
      </c>
      <c r="K804" s="35">
        <v>148</v>
      </c>
      <c r="L804" s="37">
        <v>34.93</v>
      </c>
      <c r="M804" s="37">
        <v>14702.27</v>
      </c>
      <c r="N804" s="38">
        <v>2.84</v>
      </c>
    </row>
    <row r="805" spans="1:14" x14ac:dyDescent="0.3">
      <c r="A805" s="33">
        <v>45410</v>
      </c>
      <c r="B805" s="34" t="s">
        <v>74</v>
      </c>
      <c r="C805" s="34" t="s">
        <v>75</v>
      </c>
      <c r="D805" s="34" t="s">
        <v>71</v>
      </c>
      <c r="E805" s="34" t="s">
        <v>63</v>
      </c>
      <c r="F805" s="35">
        <v>26159</v>
      </c>
      <c r="G805" s="35">
        <v>782</v>
      </c>
      <c r="H805" s="36">
        <v>2.9899999999999999E-2</v>
      </c>
      <c r="I805" s="37">
        <v>1.51</v>
      </c>
      <c r="J805" s="37">
        <v>1180.82</v>
      </c>
      <c r="K805" s="35">
        <v>52</v>
      </c>
      <c r="L805" s="37">
        <v>22.71</v>
      </c>
      <c r="M805" s="37">
        <v>8689.2900000000009</v>
      </c>
      <c r="N805" s="38">
        <v>7.36</v>
      </c>
    </row>
    <row r="806" spans="1:14" x14ac:dyDescent="0.3">
      <c r="A806" s="33">
        <v>45328</v>
      </c>
      <c r="B806" s="34" t="s">
        <v>74</v>
      </c>
      <c r="C806" s="34" t="s">
        <v>75</v>
      </c>
      <c r="D806" s="34" t="s">
        <v>65</v>
      </c>
      <c r="E806" s="34" t="s">
        <v>77</v>
      </c>
      <c r="F806" s="35">
        <v>184541</v>
      </c>
      <c r="G806" s="35">
        <v>3063</v>
      </c>
      <c r="H806" s="36">
        <v>1.66E-2</v>
      </c>
      <c r="I806" s="37">
        <v>1.72</v>
      </c>
      <c r="J806" s="37">
        <v>5268.36</v>
      </c>
      <c r="K806" s="35">
        <v>215</v>
      </c>
      <c r="L806" s="37">
        <v>24.5</v>
      </c>
      <c r="M806" s="37">
        <v>16566.88</v>
      </c>
      <c r="N806" s="38">
        <v>3.14</v>
      </c>
    </row>
    <row r="807" spans="1:14" x14ac:dyDescent="0.3">
      <c r="A807" s="33">
        <v>45535</v>
      </c>
      <c r="B807" s="34" t="s">
        <v>74</v>
      </c>
      <c r="C807" s="34" t="s">
        <v>67</v>
      </c>
      <c r="D807" s="34" t="s">
        <v>76</v>
      </c>
      <c r="E807" s="34" t="s">
        <v>63</v>
      </c>
      <c r="F807" s="35">
        <v>196373</v>
      </c>
      <c r="G807" s="35">
        <v>5184</v>
      </c>
      <c r="H807" s="36">
        <v>2.64E-2</v>
      </c>
      <c r="I807" s="37">
        <v>0.86</v>
      </c>
      <c r="J807" s="37">
        <v>4458.24</v>
      </c>
      <c r="K807" s="35">
        <v>173</v>
      </c>
      <c r="L807" s="37">
        <v>25.77</v>
      </c>
      <c r="M807" s="37">
        <v>36583.06</v>
      </c>
      <c r="N807" s="38">
        <v>8.2100000000000009</v>
      </c>
    </row>
    <row r="808" spans="1:14" x14ac:dyDescent="0.3">
      <c r="A808" s="33">
        <v>45301</v>
      </c>
      <c r="B808" s="34" t="s">
        <v>60</v>
      </c>
      <c r="C808" s="34" t="s">
        <v>67</v>
      </c>
      <c r="D808" s="34" t="s">
        <v>68</v>
      </c>
      <c r="E808" s="34" t="s">
        <v>78</v>
      </c>
      <c r="F808" s="35">
        <v>131031</v>
      </c>
      <c r="G808" s="35">
        <v>6092</v>
      </c>
      <c r="H808" s="36">
        <v>4.65E-2</v>
      </c>
      <c r="I808" s="37">
        <v>2.94</v>
      </c>
      <c r="J808" s="37">
        <v>17910.48</v>
      </c>
      <c r="K808" s="35">
        <v>482</v>
      </c>
      <c r="L808" s="37">
        <v>37.159999999999997</v>
      </c>
      <c r="M808" s="37">
        <v>116431.98</v>
      </c>
      <c r="N808" s="38">
        <v>6.5</v>
      </c>
    </row>
    <row r="809" spans="1:14" x14ac:dyDescent="0.3">
      <c r="A809" s="33">
        <v>45306</v>
      </c>
      <c r="B809" s="34" t="s">
        <v>74</v>
      </c>
      <c r="C809" s="34" t="s">
        <v>61</v>
      </c>
      <c r="D809" s="34" t="s">
        <v>65</v>
      </c>
      <c r="E809" s="34" t="s">
        <v>72</v>
      </c>
      <c r="F809" s="35">
        <v>113269</v>
      </c>
      <c r="G809" s="35">
        <v>3182</v>
      </c>
      <c r="H809" s="36">
        <v>2.81E-2</v>
      </c>
      <c r="I809" s="37">
        <v>1.53</v>
      </c>
      <c r="J809" s="37">
        <v>4868.46</v>
      </c>
      <c r="K809" s="35">
        <v>185</v>
      </c>
      <c r="L809" s="37">
        <v>26.32</v>
      </c>
      <c r="M809" s="37">
        <v>53909.5</v>
      </c>
      <c r="N809" s="38">
        <v>11.07</v>
      </c>
    </row>
    <row r="810" spans="1:14" x14ac:dyDescent="0.3">
      <c r="A810" s="33">
        <v>45623</v>
      </c>
      <c r="B810" s="34" t="s">
        <v>64</v>
      </c>
      <c r="C810" s="34" t="s">
        <v>67</v>
      </c>
      <c r="D810" s="34" t="s">
        <v>71</v>
      </c>
      <c r="E810" s="34" t="s">
        <v>69</v>
      </c>
      <c r="F810" s="35">
        <v>92346</v>
      </c>
      <c r="G810" s="35">
        <v>6815</v>
      </c>
      <c r="H810" s="36">
        <v>7.3800000000000004E-2</v>
      </c>
      <c r="I810" s="37">
        <v>0.82</v>
      </c>
      <c r="J810" s="37">
        <v>5588.3</v>
      </c>
      <c r="K810" s="35">
        <v>469</v>
      </c>
      <c r="L810" s="37">
        <v>11.92</v>
      </c>
      <c r="M810" s="37">
        <v>125930.93</v>
      </c>
      <c r="N810" s="38">
        <v>22.53</v>
      </c>
    </row>
    <row r="811" spans="1:14" x14ac:dyDescent="0.3">
      <c r="A811" s="33">
        <v>45570</v>
      </c>
      <c r="B811" s="34" t="s">
        <v>60</v>
      </c>
      <c r="C811" s="34" t="s">
        <v>61</v>
      </c>
      <c r="D811" s="34" t="s">
        <v>62</v>
      </c>
      <c r="E811" s="34" t="s">
        <v>78</v>
      </c>
      <c r="F811" s="35">
        <v>143241</v>
      </c>
      <c r="G811" s="35">
        <v>7133</v>
      </c>
      <c r="H811" s="36">
        <v>4.9799999999999997E-2</v>
      </c>
      <c r="I811" s="37">
        <v>2.06</v>
      </c>
      <c r="J811" s="37">
        <v>14693.98</v>
      </c>
      <c r="K811" s="35">
        <v>272</v>
      </c>
      <c r="L811" s="37">
        <v>54.02</v>
      </c>
      <c r="M811" s="37">
        <v>60208.51</v>
      </c>
      <c r="N811" s="38">
        <v>4.0999999999999996</v>
      </c>
    </row>
    <row r="812" spans="1:14" x14ac:dyDescent="0.3">
      <c r="A812" s="33">
        <v>45484</v>
      </c>
      <c r="B812" s="34" t="s">
        <v>74</v>
      </c>
      <c r="C812" s="34" t="s">
        <v>67</v>
      </c>
      <c r="D812" s="34" t="s">
        <v>71</v>
      </c>
      <c r="E812" s="34" t="s">
        <v>66</v>
      </c>
      <c r="F812" s="35">
        <v>194137</v>
      </c>
      <c r="G812" s="35">
        <v>2640</v>
      </c>
      <c r="H812" s="36">
        <v>1.3599999999999999E-2</v>
      </c>
      <c r="I812" s="37">
        <v>2.41</v>
      </c>
      <c r="J812" s="37">
        <v>6362.4</v>
      </c>
      <c r="K812" s="35">
        <v>49</v>
      </c>
      <c r="L812" s="37">
        <v>129.84</v>
      </c>
      <c r="M812" s="37">
        <v>6668.85</v>
      </c>
      <c r="N812" s="38">
        <v>1.05</v>
      </c>
    </row>
    <row r="813" spans="1:14" x14ac:dyDescent="0.3">
      <c r="A813" s="33">
        <v>45315</v>
      </c>
      <c r="B813" s="34" t="s">
        <v>64</v>
      </c>
      <c r="C813" s="34" t="s">
        <v>70</v>
      </c>
      <c r="D813" s="34" t="s">
        <v>65</v>
      </c>
      <c r="E813" s="34" t="s">
        <v>66</v>
      </c>
      <c r="F813" s="35">
        <v>79967</v>
      </c>
      <c r="G813" s="35">
        <v>2327</v>
      </c>
      <c r="H813" s="36">
        <v>2.9100000000000001E-2</v>
      </c>
      <c r="I813" s="37">
        <v>1.05</v>
      </c>
      <c r="J813" s="37">
        <v>2443.35</v>
      </c>
      <c r="K813" s="35">
        <v>43</v>
      </c>
      <c r="L813" s="37">
        <v>56.82</v>
      </c>
      <c r="M813" s="37">
        <v>11334.87</v>
      </c>
      <c r="N813" s="38">
        <v>4.6399999999999997</v>
      </c>
    </row>
    <row r="814" spans="1:14" x14ac:dyDescent="0.3">
      <c r="A814" s="33">
        <v>45535</v>
      </c>
      <c r="B814" s="34" t="s">
        <v>74</v>
      </c>
      <c r="C814" s="34" t="s">
        <v>67</v>
      </c>
      <c r="D814" s="34" t="s">
        <v>76</v>
      </c>
      <c r="E814" s="34" t="s">
        <v>63</v>
      </c>
      <c r="F814" s="35">
        <v>60919</v>
      </c>
      <c r="G814" s="35">
        <v>1851</v>
      </c>
      <c r="H814" s="36">
        <v>3.04E-2</v>
      </c>
      <c r="I814" s="37">
        <v>1.79</v>
      </c>
      <c r="J814" s="37">
        <v>3313.29</v>
      </c>
      <c r="K814" s="35">
        <v>131</v>
      </c>
      <c r="L814" s="37">
        <v>25.29</v>
      </c>
      <c r="M814" s="37">
        <v>19210.72</v>
      </c>
      <c r="N814" s="38">
        <v>5.8</v>
      </c>
    </row>
    <row r="815" spans="1:14" x14ac:dyDescent="0.3">
      <c r="A815" s="33">
        <v>45562</v>
      </c>
      <c r="B815" s="34" t="s">
        <v>64</v>
      </c>
      <c r="C815" s="34" t="s">
        <v>61</v>
      </c>
      <c r="D815" s="34" t="s">
        <v>71</v>
      </c>
      <c r="E815" s="34" t="s">
        <v>73</v>
      </c>
      <c r="F815" s="35">
        <v>40886</v>
      </c>
      <c r="G815" s="35">
        <v>1782</v>
      </c>
      <c r="H815" s="36">
        <v>4.36E-2</v>
      </c>
      <c r="I815" s="37">
        <v>0.55000000000000004</v>
      </c>
      <c r="J815" s="37">
        <v>980.1</v>
      </c>
      <c r="K815" s="35">
        <v>132</v>
      </c>
      <c r="L815" s="37">
        <v>7.42</v>
      </c>
      <c r="M815" s="37">
        <v>28189.38</v>
      </c>
      <c r="N815" s="38">
        <v>28.76</v>
      </c>
    </row>
    <row r="816" spans="1:14" x14ac:dyDescent="0.3">
      <c r="A816" s="33">
        <v>45381</v>
      </c>
      <c r="B816" s="34" t="s">
        <v>64</v>
      </c>
      <c r="C816" s="34" t="s">
        <v>70</v>
      </c>
      <c r="D816" s="34" t="s">
        <v>71</v>
      </c>
      <c r="E816" s="34" t="s">
        <v>77</v>
      </c>
      <c r="F816" s="35">
        <v>37646</v>
      </c>
      <c r="G816" s="35">
        <v>1874</v>
      </c>
      <c r="H816" s="36">
        <v>4.9799999999999997E-2</v>
      </c>
      <c r="I816" s="37">
        <v>1.1000000000000001</v>
      </c>
      <c r="J816" s="37">
        <v>2061.4</v>
      </c>
      <c r="K816" s="35">
        <v>144</v>
      </c>
      <c r="L816" s="37">
        <v>14.32</v>
      </c>
      <c r="M816" s="37">
        <v>16795.87</v>
      </c>
      <c r="N816" s="38">
        <v>8.15</v>
      </c>
    </row>
    <row r="817" spans="1:14" x14ac:dyDescent="0.3">
      <c r="A817" s="33">
        <v>45366</v>
      </c>
      <c r="B817" s="34" t="s">
        <v>74</v>
      </c>
      <c r="C817" s="34" t="s">
        <v>61</v>
      </c>
      <c r="D817" s="34" t="s">
        <v>65</v>
      </c>
      <c r="E817" s="34" t="s">
        <v>72</v>
      </c>
      <c r="F817" s="35">
        <v>117529</v>
      </c>
      <c r="G817" s="35">
        <v>4266</v>
      </c>
      <c r="H817" s="36">
        <v>3.6299999999999999E-2</v>
      </c>
      <c r="I817" s="37">
        <v>1.03</v>
      </c>
      <c r="J817" s="37">
        <v>4393.9799999999996</v>
      </c>
      <c r="K817" s="35">
        <v>308</v>
      </c>
      <c r="L817" s="37">
        <v>14.27</v>
      </c>
      <c r="M817" s="37">
        <v>62119.33</v>
      </c>
      <c r="N817" s="38">
        <v>14.14</v>
      </c>
    </row>
    <row r="818" spans="1:14" x14ac:dyDescent="0.3">
      <c r="A818" s="33">
        <v>45440</v>
      </c>
      <c r="B818" s="34" t="s">
        <v>64</v>
      </c>
      <c r="C818" s="34" t="s">
        <v>67</v>
      </c>
      <c r="D818" s="34" t="s">
        <v>62</v>
      </c>
      <c r="E818" s="34" t="s">
        <v>77</v>
      </c>
      <c r="F818" s="35">
        <v>150250</v>
      </c>
      <c r="G818" s="35">
        <v>7196</v>
      </c>
      <c r="H818" s="36">
        <v>4.7899999999999998E-2</v>
      </c>
      <c r="I818" s="37">
        <v>0.67</v>
      </c>
      <c r="J818" s="37">
        <v>4821.32</v>
      </c>
      <c r="K818" s="35">
        <v>534</v>
      </c>
      <c r="L818" s="37">
        <v>9.0299999999999994</v>
      </c>
      <c r="M818" s="37">
        <v>36153.629999999997</v>
      </c>
      <c r="N818" s="38">
        <v>7.5</v>
      </c>
    </row>
    <row r="819" spans="1:14" x14ac:dyDescent="0.3">
      <c r="A819" s="33">
        <v>45443</v>
      </c>
      <c r="B819" s="34" t="s">
        <v>74</v>
      </c>
      <c r="C819" s="34" t="s">
        <v>67</v>
      </c>
      <c r="D819" s="34" t="s">
        <v>76</v>
      </c>
      <c r="E819" s="34" t="s">
        <v>72</v>
      </c>
      <c r="F819" s="35">
        <v>196929</v>
      </c>
      <c r="G819" s="35">
        <v>2382</v>
      </c>
      <c r="H819" s="36">
        <v>1.21E-2</v>
      </c>
      <c r="I819" s="37">
        <v>1.3</v>
      </c>
      <c r="J819" s="37">
        <v>3096.6</v>
      </c>
      <c r="K819" s="35">
        <v>143</v>
      </c>
      <c r="L819" s="37">
        <v>21.65</v>
      </c>
      <c r="M819" s="37">
        <v>38447.589999999997</v>
      </c>
      <c r="N819" s="38">
        <v>12.42</v>
      </c>
    </row>
    <row r="820" spans="1:14" x14ac:dyDescent="0.3">
      <c r="A820" s="33">
        <v>45585</v>
      </c>
      <c r="B820" s="34" t="s">
        <v>60</v>
      </c>
      <c r="C820" s="34" t="s">
        <v>61</v>
      </c>
      <c r="D820" s="34" t="s">
        <v>68</v>
      </c>
      <c r="E820" s="34" t="s">
        <v>72</v>
      </c>
      <c r="F820" s="35">
        <v>91491</v>
      </c>
      <c r="G820" s="35">
        <v>4053</v>
      </c>
      <c r="H820" s="36">
        <v>4.4299999999999999E-2</v>
      </c>
      <c r="I820" s="37">
        <v>1.74</v>
      </c>
      <c r="J820" s="37">
        <v>7052.22</v>
      </c>
      <c r="K820" s="35">
        <v>140</v>
      </c>
      <c r="L820" s="37">
        <v>50.37</v>
      </c>
      <c r="M820" s="37">
        <v>19432.37</v>
      </c>
      <c r="N820" s="38">
        <v>2.76</v>
      </c>
    </row>
    <row r="821" spans="1:14" x14ac:dyDescent="0.3">
      <c r="A821" s="33">
        <v>45630</v>
      </c>
      <c r="B821" s="34" t="s">
        <v>60</v>
      </c>
      <c r="C821" s="34" t="s">
        <v>67</v>
      </c>
      <c r="D821" s="34" t="s">
        <v>76</v>
      </c>
      <c r="E821" s="34" t="s">
        <v>66</v>
      </c>
      <c r="F821" s="35">
        <v>154741</v>
      </c>
      <c r="G821" s="35">
        <v>6019</v>
      </c>
      <c r="H821" s="36">
        <v>3.8899999999999997E-2</v>
      </c>
      <c r="I821" s="37">
        <v>1.04</v>
      </c>
      <c r="J821" s="37">
        <v>6259.76</v>
      </c>
      <c r="K821" s="35">
        <v>220</v>
      </c>
      <c r="L821" s="37">
        <v>28.45</v>
      </c>
      <c r="M821" s="37">
        <v>38586.699999999997</v>
      </c>
      <c r="N821" s="38">
        <v>6.16</v>
      </c>
    </row>
    <row r="822" spans="1:14" x14ac:dyDescent="0.3">
      <c r="A822" s="33">
        <v>45592</v>
      </c>
      <c r="B822" s="34" t="s">
        <v>64</v>
      </c>
      <c r="C822" s="34" t="s">
        <v>75</v>
      </c>
      <c r="D822" s="34" t="s">
        <v>76</v>
      </c>
      <c r="E822" s="34" t="s">
        <v>77</v>
      </c>
      <c r="F822" s="35">
        <v>72963</v>
      </c>
      <c r="G822" s="35">
        <v>5618</v>
      </c>
      <c r="H822" s="36">
        <v>7.6999999999999999E-2</v>
      </c>
      <c r="I822" s="37">
        <v>0.48</v>
      </c>
      <c r="J822" s="37">
        <v>2696.64</v>
      </c>
      <c r="K822" s="35">
        <v>412</v>
      </c>
      <c r="L822" s="37">
        <v>6.55</v>
      </c>
      <c r="M822" s="37">
        <v>16464.009999999998</v>
      </c>
      <c r="N822" s="38">
        <v>6.11</v>
      </c>
    </row>
    <row r="823" spans="1:14" x14ac:dyDescent="0.3">
      <c r="A823" s="33">
        <v>45550</v>
      </c>
      <c r="B823" s="34" t="s">
        <v>60</v>
      </c>
      <c r="C823" s="34" t="s">
        <v>67</v>
      </c>
      <c r="D823" s="34" t="s">
        <v>62</v>
      </c>
      <c r="E823" s="34" t="s">
        <v>69</v>
      </c>
      <c r="F823" s="35">
        <v>194281</v>
      </c>
      <c r="G823" s="35">
        <v>5906</v>
      </c>
      <c r="H823" s="36">
        <v>3.04E-2</v>
      </c>
      <c r="I823" s="37">
        <v>2.5</v>
      </c>
      <c r="J823" s="37">
        <v>14765</v>
      </c>
      <c r="K823" s="35">
        <v>371</v>
      </c>
      <c r="L823" s="37">
        <v>39.799999999999997</v>
      </c>
      <c r="M823" s="37">
        <v>20958.57</v>
      </c>
      <c r="N823" s="38">
        <v>1.42</v>
      </c>
    </row>
    <row r="824" spans="1:14" x14ac:dyDescent="0.3">
      <c r="A824" s="33">
        <v>45563</v>
      </c>
      <c r="B824" s="34" t="s">
        <v>74</v>
      </c>
      <c r="C824" s="34" t="s">
        <v>75</v>
      </c>
      <c r="D824" s="34" t="s">
        <v>76</v>
      </c>
      <c r="E824" s="34" t="s">
        <v>63</v>
      </c>
      <c r="F824" s="35">
        <v>92844</v>
      </c>
      <c r="G824" s="35">
        <v>3277</v>
      </c>
      <c r="H824" s="36">
        <v>3.5299999999999998E-2</v>
      </c>
      <c r="I824" s="37">
        <v>1.81</v>
      </c>
      <c r="J824" s="37">
        <v>5931.37</v>
      </c>
      <c r="K824" s="35">
        <v>63</v>
      </c>
      <c r="L824" s="37">
        <v>94.15</v>
      </c>
      <c r="M824" s="37">
        <v>10318.61</v>
      </c>
      <c r="N824" s="38">
        <v>1.74</v>
      </c>
    </row>
    <row r="825" spans="1:14" x14ac:dyDescent="0.3">
      <c r="A825" s="33">
        <v>45423</v>
      </c>
      <c r="B825" s="34" t="s">
        <v>60</v>
      </c>
      <c r="C825" s="34" t="s">
        <v>67</v>
      </c>
      <c r="D825" s="34" t="s">
        <v>71</v>
      </c>
      <c r="E825" s="34" t="s">
        <v>63</v>
      </c>
      <c r="F825" s="35">
        <v>132441</v>
      </c>
      <c r="G825" s="35">
        <v>2436</v>
      </c>
      <c r="H825" s="36">
        <v>1.84E-2</v>
      </c>
      <c r="I825" s="37">
        <v>2.09</v>
      </c>
      <c r="J825" s="37">
        <v>5091.24</v>
      </c>
      <c r="K825" s="35">
        <v>135</v>
      </c>
      <c r="L825" s="37">
        <v>37.71</v>
      </c>
      <c r="M825" s="37">
        <v>8958.33</v>
      </c>
      <c r="N825" s="38">
        <v>1.76</v>
      </c>
    </row>
    <row r="826" spans="1:14" x14ac:dyDescent="0.3">
      <c r="A826" s="33">
        <v>45573</v>
      </c>
      <c r="B826" s="34" t="s">
        <v>74</v>
      </c>
      <c r="C826" s="34" t="s">
        <v>61</v>
      </c>
      <c r="D826" s="34" t="s">
        <v>65</v>
      </c>
      <c r="E826" s="34" t="s">
        <v>72</v>
      </c>
      <c r="F826" s="35">
        <v>110977</v>
      </c>
      <c r="G826" s="35">
        <v>2829</v>
      </c>
      <c r="H826" s="36">
        <v>2.5499999999999998E-2</v>
      </c>
      <c r="I826" s="37">
        <v>0.66</v>
      </c>
      <c r="J826" s="37">
        <v>1867.14</v>
      </c>
      <c r="K826" s="35">
        <v>48</v>
      </c>
      <c r="L826" s="37">
        <v>38.9</v>
      </c>
      <c r="M826" s="37">
        <v>10643.48</v>
      </c>
      <c r="N826" s="38">
        <v>5.7</v>
      </c>
    </row>
    <row r="827" spans="1:14" x14ac:dyDescent="0.3">
      <c r="A827" s="33">
        <v>45565</v>
      </c>
      <c r="B827" s="34" t="s">
        <v>60</v>
      </c>
      <c r="C827" s="34" t="s">
        <v>61</v>
      </c>
      <c r="D827" s="34" t="s">
        <v>68</v>
      </c>
      <c r="E827" s="34" t="s">
        <v>63</v>
      </c>
      <c r="F827" s="35">
        <v>50076</v>
      </c>
      <c r="G827" s="35">
        <v>2964</v>
      </c>
      <c r="H827" s="36">
        <v>5.9200000000000003E-2</v>
      </c>
      <c r="I827" s="37">
        <v>3.4</v>
      </c>
      <c r="J827" s="37">
        <v>10077.6</v>
      </c>
      <c r="K827" s="35">
        <v>94</v>
      </c>
      <c r="L827" s="37">
        <v>107.21</v>
      </c>
      <c r="M827" s="37">
        <v>28058.66</v>
      </c>
      <c r="N827" s="38">
        <v>2.78</v>
      </c>
    </row>
    <row r="828" spans="1:14" x14ac:dyDescent="0.3">
      <c r="A828" s="33">
        <v>45595</v>
      </c>
      <c r="B828" s="34" t="s">
        <v>60</v>
      </c>
      <c r="C828" s="34" t="s">
        <v>61</v>
      </c>
      <c r="D828" s="34" t="s">
        <v>71</v>
      </c>
      <c r="E828" s="34" t="s">
        <v>78</v>
      </c>
      <c r="F828" s="35">
        <v>180590</v>
      </c>
      <c r="G828" s="35">
        <v>4857</v>
      </c>
      <c r="H828" s="36">
        <v>2.69E-2</v>
      </c>
      <c r="I828" s="37">
        <v>1.51</v>
      </c>
      <c r="J828" s="37">
        <v>7334.07</v>
      </c>
      <c r="K828" s="35">
        <v>333</v>
      </c>
      <c r="L828" s="37">
        <v>22.02</v>
      </c>
      <c r="M828" s="37">
        <v>91782.77</v>
      </c>
      <c r="N828" s="38">
        <v>12.51</v>
      </c>
    </row>
    <row r="829" spans="1:14" x14ac:dyDescent="0.3">
      <c r="A829" s="33">
        <v>45462</v>
      </c>
      <c r="B829" s="34" t="s">
        <v>74</v>
      </c>
      <c r="C829" s="34" t="s">
        <v>61</v>
      </c>
      <c r="D829" s="34" t="s">
        <v>62</v>
      </c>
      <c r="E829" s="34" t="s">
        <v>63</v>
      </c>
      <c r="F829" s="35">
        <v>153530</v>
      </c>
      <c r="G829" s="35">
        <v>3899</v>
      </c>
      <c r="H829" s="36">
        <v>2.5399999999999999E-2</v>
      </c>
      <c r="I829" s="37">
        <v>2.31</v>
      </c>
      <c r="J829" s="37">
        <v>9006.69</v>
      </c>
      <c r="K829" s="35">
        <v>302</v>
      </c>
      <c r="L829" s="37">
        <v>29.82</v>
      </c>
      <c r="M829" s="37">
        <v>21392.38</v>
      </c>
      <c r="N829" s="38">
        <v>2.38</v>
      </c>
    </row>
    <row r="830" spans="1:14" x14ac:dyDescent="0.3">
      <c r="A830" s="33">
        <v>45296</v>
      </c>
      <c r="B830" s="34" t="s">
        <v>60</v>
      </c>
      <c r="C830" s="34" t="s">
        <v>67</v>
      </c>
      <c r="D830" s="34" t="s">
        <v>71</v>
      </c>
      <c r="E830" s="34" t="s">
        <v>77</v>
      </c>
      <c r="F830" s="35">
        <v>135223</v>
      </c>
      <c r="G830" s="35">
        <v>3285</v>
      </c>
      <c r="H830" s="36">
        <v>2.4299999999999999E-2</v>
      </c>
      <c r="I830" s="37">
        <v>3.02</v>
      </c>
      <c r="J830" s="37">
        <v>9920.7000000000007</v>
      </c>
      <c r="K830" s="35">
        <v>201</v>
      </c>
      <c r="L830" s="37">
        <v>49.36</v>
      </c>
      <c r="M830" s="37">
        <v>46154.22</v>
      </c>
      <c r="N830" s="38">
        <v>4.6500000000000004</v>
      </c>
    </row>
    <row r="831" spans="1:14" x14ac:dyDescent="0.3">
      <c r="A831" s="33">
        <v>45656</v>
      </c>
      <c r="B831" s="34" t="s">
        <v>74</v>
      </c>
      <c r="C831" s="34" t="s">
        <v>75</v>
      </c>
      <c r="D831" s="34" t="s">
        <v>65</v>
      </c>
      <c r="E831" s="34" t="s">
        <v>69</v>
      </c>
      <c r="F831" s="35">
        <v>108152</v>
      </c>
      <c r="G831" s="35">
        <v>4250</v>
      </c>
      <c r="H831" s="36">
        <v>3.9300000000000002E-2</v>
      </c>
      <c r="I831" s="37">
        <v>0.72</v>
      </c>
      <c r="J831" s="37">
        <v>3060</v>
      </c>
      <c r="K831" s="35">
        <v>160</v>
      </c>
      <c r="L831" s="37">
        <v>19.12</v>
      </c>
      <c r="M831" s="37">
        <v>12452.25</v>
      </c>
      <c r="N831" s="38">
        <v>4.07</v>
      </c>
    </row>
    <row r="832" spans="1:14" x14ac:dyDescent="0.3">
      <c r="A832" s="33">
        <v>45354</v>
      </c>
      <c r="B832" s="34" t="s">
        <v>60</v>
      </c>
      <c r="C832" s="34" t="s">
        <v>67</v>
      </c>
      <c r="D832" s="34" t="s">
        <v>68</v>
      </c>
      <c r="E832" s="34" t="s">
        <v>72</v>
      </c>
      <c r="F832" s="35">
        <v>76442</v>
      </c>
      <c r="G832" s="35">
        <v>2392</v>
      </c>
      <c r="H832" s="36">
        <v>3.1300000000000001E-2</v>
      </c>
      <c r="I832" s="37">
        <v>1.64</v>
      </c>
      <c r="J832" s="37">
        <v>3922.88</v>
      </c>
      <c r="K832" s="35">
        <v>160</v>
      </c>
      <c r="L832" s="37">
        <v>24.52</v>
      </c>
      <c r="M832" s="37">
        <v>14390.19</v>
      </c>
      <c r="N832" s="38">
        <v>3.67</v>
      </c>
    </row>
    <row r="833" spans="1:14" x14ac:dyDescent="0.3">
      <c r="A833" s="33">
        <v>45608</v>
      </c>
      <c r="B833" s="34" t="s">
        <v>60</v>
      </c>
      <c r="C833" s="34" t="s">
        <v>67</v>
      </c>
      <c r="D833" s="34" t="s">
        <v>65</v>
      </c>
      <c r="E833" s="34" t="s">
        <v>72</v>
      </c>
      <c r="F833" s="35">
        <v>57335</v>
      </c>
      <c r="G833" s="35">
        <v>1869</v>
      </c>
      <c r="H833" s="36">
        <v>3.2599999999999997E-2</v>
      </c>
      <c r="I833" s="37">
        <v>2.75</v>
      </c>
      <c r="J833" s="37">
        <v>5139.75</v>
      </c>
      <c r="K833" s="35">
        <v>133</v>
      </c>
      <c r="L833" s="37">
        <v>38.64</v>
      </c>
      <c r="M833" s="37">
        <v>11136.73</v>
      </c>
      <c r="N833" s="38">
        <v>2.17</v>
      </c>
    </row>
    <row r="834" spans="1:14" x14ac:dyDescent="0.3">
      <c r="A834" s="33">
        <v>45621</v>
      </c>
      <c r="B834" s="34" t="s">
        <v>64</v>
      </c>
      <c r="C834" s="34" t="s">
        <v>75</v>
      </c>
      <c r="D834" s="34" t="s">
        <v>71</v>
      </c>
      <c r="E834" s="34" t="s">
        <v>66</v>
      </c>
      <c r="F834" s="35">
        <v>82661</v>
      </c>
      <c r="G834" s="35">
        <v>4769</v>
      </c>
      <c r="H834" s="36">
        <v>5.7700000000000001E-2</v>
      </c>
      <c r="I834" s="37">
        <v>1.33</v>
      </c>
      <c r="J834" s="37">
        <v>6342.77</v>
      </c>
      <c r="K834" s="35">
        <v>271</v>
      </c>
      <c r="L834" s="37">
        <v>23.41</v>
      </c>
      <c r="M834" s="37">
        <v>79985.87</v>
      </c>
      <c r="N834" s="38">
        <v>12.61</v>
      </c>
    </row>
    <row r="835" spans="1:14" x14ac:dyDescent="0.3">
      <c r="A835" s="33">
        <v>45412</v>
      </c>
      <c r="B835" s="34" t="s">
        <v>60</v>
      </c>
      <c r="C835" s="34" t="s">
        <v>70</v>
      </c>
      <c r="D835" s="34" t="s">
        <v>62</v>
      </c>
      <c r="E835" s="34" t="s">
        <v>77</v>
      </c>
      <c r="F835" s="35">
        <v>72902</v>
      </c>
      <c r="G835" s="35">
        <v>4942</v>
      </c>
      <c r="H835" s="36">
        <v>6.7799999999999999E-2</v>
      </c>
      <c r="I835" s="37">
        <v>3.3</v>
      </c>
      <c r="J835" s="37">
        <v>16308.6</v>
      </c>
      <c r="K835" s="35">
        <v>323</v>
      </c>
      <c r="L835" s="37">
        <v>50.49</v>
      </c>
      <c r="M835" s="37">
        <v>33499.379999999997</v>
      </c>
      <c r="N835" s="38">
        <v>2.0499999999999998</v>
      </c>
    </row>
    <row r="836" spans="1:14" x14ac:dyDescent="0.3">
      <c r="A836" s="33">
        <v>45323</v>
      </c>
      <c r="B836" s="34" t="s">
        <v>74</v>
      </c>
      <c r="C836" s="34" t="s">
        <v>61</v>
      </c>
      <c r="D836" s="34" t="s">
        <v>76</v>
      </c>
      <c r="E836" s="34" t="s">
        <v>66</v>
      </c>
      <c r="F836" s="35">
        <v>63528</v>
      </c>
      <c r="G836" s="35">
        <v>711</v>
      </c>
      <c r="H836" s="36">
        <v>1.12E-2</v>
      </c>
      <c r="I836" s="37">
        <v>1.49</v>
      </c>
      <c r="J836" s="37">
        <v>1059.3900000000001</v>
      </c>
      <c r="K836" s="35">
        <v>23</v>
      </c>
      <c r="L836" s="37">
        <v>46.06</v>
      </c>
      <c r="M836" s="37">
        <v>4567.68</v>
      </c>
      <c r="N836" s="38">
        <v>4.3099999999999996</v>
      </c>
    </row>
    <row r="837" spans="1:14" x14ac:dyDescent="0.3">
      <c r="A837" s="33">
        <v>45644</v>
      </c>
      <c r="B837" s="34" t="s">
        <v>64</v>
      </c>
      <c r="C837" s="34" t="s">
        <v>70</v>
      </c>
      <c r="D837" s="34" t="s">
        <v>62</v>
      </c>
      <c r="E837" s="34" t="s">
        <v>69</v>
      </c>
      <c r="F837" s="35">
        <v>169238</v>
      </c>
      <c r="G837" s="35">
        <v>6583</v>
      </c>
      <c r="H837" s="36">
        <v>3.8899999999999997E-2</v>
      </c>
      <c r="I837" s="37">
        <v>0.53</v>
      </c>
      <c r="J837" s="37">
        <v>3488.99</v>
      </c>
      <c r="K837" s="35">
        <v>507</v>
      </c>
      <c r="L837" s="37">
        <v>6.88</v>
      </c>
      <c r="M837" s="37">
        <v>146453.92000000001</v>
      </c>
      <c r="N837" s="38">
        <v>41.98</v>
      </c>
    </row>
    <row r="838" spans="1:14" x14ac:dyDescent="0.3">
      <c r="A838" s="33">
        <v>45632</v>
      </c>
      <c r="B838" s="34" t="s">
        <v>74</v>
      </c>
      <c r="C838" s="34" t="s">
        <v>75</v>
      </c>
      <c r="D838" s="34" t="s">
        <v>71</v>
      </c>
      <c r="E838" s="34" t="s">
        <v>73</v>
      </c>
      <c r="F838" s="35">
        <v>14815</v>
      </c>
      <c r="G838" s="35">
        <v>189</v>
      </c>
      <c r="H838" s="36">
        <v>1.2800000000000001E-2</v>
      </c>
      <c r="I838" s="37">
        <v>0.55000000000000004</v>
      </c>
      <c r="J838" s="37">
        <v>103.95</v>
      </c>
      <c r="K838" s="35">
        <v>3</v>
      </c>
      <c r="L838" s="37">
        <v>34.65</v>
      </c>
      <c r="M838" s="37">
        <v>142.69</v>
      </c>
      <c r="N838" s="38">
        <v>1.37</v>
      </c>
    </row>
    <row r="839" spans="1:14" x14ac:dyDescent="0.3">
      <c r="A839" s="33">
        <v>45525</v>
      </c>
      <c r="B839" s="34" t="s">
        <v>64</v>
      </c>
      <c r="C839" s="34" t="s">
        <v>61</v>
      </c>
      <c r="D839" s="34" t="s">
        <v>68</v>
      </c>
      <c r="E839" s="34" t="s">
        <v>72</v>
      </c>
      <c r="F839" s="35">
        <v>47278</v>
      </c>
      <c r="G839" s="35">
        <v>2803</v>
      </c>
      <c r="H839" s="36">
        <v>5.9299999999999999E-2</v>
      </c>
      <c r="I839" s="37">
        <v>1.69</v>
      </c>
      <c r="J839" s="37">
        <v>4737.07</v>
      </c>
      <c r="K839" s="35">
        <v>201</v>
      </c>
      <c r="L839" s="37">
        <v>23.57</v>
      </c>
      <c r="M839" s="37">
        <v>39448.18</v>
      </c>
      <c r="N839" s="38">
        <v>8.33</v>
      </c>
    </row>
    <row r="840" spans="1:14" x14ac:dyDescent="0.3">
      <c r="A840" s="33">
        <v>45339</v>
      </c>
      <c r="B840" s="34" t="s">
        <v>60</v>
      </c>
      <c r="C840" s="34" t="s">
        <v>67</v>
      </c>
      <c r="D840" s="34" t="s">
        <v>62</v>
      </c>
      <c r="E840" s="34" t="s">
        <v>63</v>
      </c>
      <c r="F840" s="35">
        <v>15046</v>
      </c>
      <c r="G840" s="35">
        <v>400</v>
      </c>
      <c r="H840" s="36">
        <v>2.6599999999999999E-2</v>
      </c>
      <c r="I840" s="37">
        <v>1.18</v>
      </c>
      <c r="J840" s="37">
        <v>472</v>
      </c>
      <c r="K840" s="35">
        <v>4</v>
      </c>
      <c r="L840" s="37">
        <v>118</v>
      </c>
      <c r="M840" s="37">
        <v>142.71</v>
      </c>
      <c r="N840" s="38">
        <v>0.3</v>
      </c>
    </row>
    <row r="841" spans="1:14" x14ac:dyDescent="0.3">
      <c r="A841" s="33">
        <v>45508</v>
      </c>
      <c r="B841" s="34" t="s">
        <v>74</v>
      </c>
      <c r="C841" s="34" t="s">
        <v>70</v>
      </c>
      <c r="D841" s="34" t="s">
        <v>71</v>
      </c>
      <c r="E841" s="34" t="s">
        <v>73</v>
      </c>
      <c r="F841" s="35">
        <v>58968</v>
      </c>
      <c r="G841" s="35">
        <v>1715</v>
      </c>
      <c r="H841" s="36">
        <v>2.9100000000000001E-2</v>
      </c>
      <c r="I841" s="37">
        <v>1.49</v>
      </c>
      <c r="J841" s="37">
        <v>2555.35</v>
      </c>
      <c r="K841" s="35">
        <v>127</v>
      </c>
      <c r="L841" s="37">
        <v>20.12</v>
      </c>
      <c r="M841" s="37">
        <v>13332.87</v>
      </c>
      <c r="N841" s="38">
        <v>5.22</v>
      </c>
    </row>
    <row r="842" spans="1:14" x14ac:dyDescent="0.3">
      <c r="A842" s="33">
        <v>45343</v>
      </c>
      <c r="B842" s="34" t="s">
        <v>60</v>
      </c>
      <c r="C842" s="34" t="s">
        <v>61</v>
      </c>
      <c r="D842" s="34" t="s">
        <v>68</v>
      </c>
      <c r="E842" s="34" t="s">
        <v>77</v>
      </c>
      <c r="F842" s="35">
        <v>13083</v>
      </c>
      <c r="G842" s="35">
        <v>707</v>
      </c>
      <c r="H842" s="36">
        <v>5.4100000000000002E-2</v>
      </c>
      <c r="I842" s="37">
        <v>2.38</v>
      </c>
      <c r="J842" s="37">
        <v>1682.66</v>
      </c>
      <c r="K842" s="35">
        <v>41</v>
      </c>
      <c r="L842" s="37">
        <v>41.04</v>
      </c>
      <c r="M842" s="37">
        <v>10442.74</v>
      </c>
      <c r="N842" s="38">
        <v>6.21</v>
      </c>
    </row>
    <row r="843" spans="1:14" x14ac:dyDescent="0.3">
      <c r="A843" s="33">
        <v>45643</v>
      </c>
      <c r="B843" s="34" t="s">
        <v>64</v>
      </c>
      <c r="C843" s="34" t="s">
        <v>61</v>
      </c>
      <c r="D843" s="34" t="s">
        <v>71</v>
      </c>
      <c r="E843" s="34" t="s">
        <v>72</v>
      </c>
      <c r="F843" s="35">
        <v>109222</v>
      </c>
      <c r="G843" s="35">
        <v>7306</v>
      </c>
      <c r="H843" s="36">
        <v>6.6900000000000001E-2</v>
      </c>
      <c r="I843" s="37">
        <v>1.0900000000000001</v>
      </c>
      <c r="J843" s="37">
        <v>7963.54</v>
      </c>
      <c r="K843" s="35">
        <v>124</v>
      </c>
      <c r="L843" s="37">
        <v>64.22</v>
      </c>
      <c r="M843" s="37">
        <v>12349.14</v>
      </c>
      <c r="N843" s="38">
        <v>1.55</v>
      </c>
    </row>
    <row r="844" spans="1:14" x14ac:dyDescent="0.3">
      <c r="A844" s="33">
        <v>45386</v>
      </c>
      <c r="B844" s="34" t="s">
        <v>64</v>
      </c>
      <c r="C844" s="34" t="s">
        <v>61</v>
      </c>
      <c r="D844" s="34" t="s">
        <v>71</v>
      </c>
      <c r="E844" s="34" t="s">
        <v>66</v>
      </c>
      <c r="F844" s="35">
        <v>45382</v>
      </c>
      <c r="G844" s="35">
        <v>2246</v>
      </c>
      <c r="H844" s="36">
        <v>4.9500000000000002E-2</v>
      </c>
      <c r="I844" s="37">
        <v>1.59</v>
      </c>
      <c r="J844" s="37">
        <v>3571.14</v>
      </c>
      <c r="K844" s="35">
        <v>46</v>
      </c>
      <c r="L844" s="37">
        <v>77.63</v>
      </c>
      <c r="M844" s="37">
        <v>2662.9</v>
      </c>
      <c r="N844" s="38">
        <v>0.75</v>
      </c>
    </row>
    <row r="845" spans="1:14" x14ac:dyDescent="0.3">
      <c r="A845" s="33">
        <v>45550</v>
      </c>
      <c r="B845" s="34" t="s">
        <v>74</v>
      </c>
      <c r="C845" s="34" t="s">
        <v>75</v>
      </c>
      <c r="D845" s="34" t="s">
        <v>68</v>
      </c>
      <c r="E845" s="34" t="s">
        <v>63</v>
      </c>
      <c r="F845" s="35">
        <v>196432</v>
      </c>
      <c r="G845" s="35">
        <v>6501</v>
      </c>
      <c r="H845" s="36">
        <v>3.3099999999999997E-2</v>
      </c>
      <c r="I845" s="37">
        <v>0.4</v>
      </c>
      <c r="J845" s="37">
        <v>2600.4</v>
      </c>
      <c r="K845" s="35">
        <v>462</v>
      </c>
      <c r="L845" s="37">
        <v>5.63</v>
      </c>
      <c r="M845" s="37">
        <v>52195.74</v>
      </c>
      <c r="N845" s="38">
        <v>20.07</v>
      </c>
    </row>
    <row r="846" spans="1:14" x14ac:dyDescent="0.3">
      <c r="A846" s="33">
        <v>45631</v>
      </c>
      <c r="B846" s="34" t="s">
        <v>64</v>
      </c>
      <c r="C846" s="34" t="s">
        <v>61</v>
      </c>
      <c r="D846" s="34" t="s">
        <v>65</v>
      </c>
      <c r="E846" s="34" t="s">
        <v>77</v>
      </c>
      <c r="F846" s="35">
        <v>71470</v>
      </c>
      <c r="G846" s="35">
        <v>2065</v>
      </c>
      <c r="H846" s="36">
        <v>2.8899999999999999E-2</v>
      </c>
      <c r="I846" s="37">
        <v>1.18</v>
      </c>
      <c r="J846" s="37">
        <v>2436.6999999999998</v>
      </c>
      <c r="K846" s="35">
        <v>37</v>
      </c>
      <c r="L846" s="37">
        <v>65.86</v>
      </c>
      <c r="M846" s="37">
        <v>10377.15</v>
      </c>
      <c r="N846" s="38">
        <v>4.26</v>
      </c>
    </row>
    <row r="847" spans="1:14" x14ac:dyDescent="0.3">
      <c r="A847" s="33">
        <v>45292</v>
      </c>
      <c r="B847" s="34" t="s">
        <v>64</v>
      </c>
      <c r="C847" s="34" t="s">
        <v>75</v>
      </c>
      <c r="D847" s="34" t="s">
        <v>71</v>
      </c>
      <c r="E847" s="34" t="s">
        <v>69</v>
      </c>
      <c r="F847" s="35">
        <v>103026</v>
      </c>
      <c r="G847" s="35">
        <v>9066</v>
      </c>
      <c r="H847" s="36">
        <v>8.7999999999999995E-2</v>
      </c>
      <c r="I847" s="37">
        <v>1.43</v>
      </c>
      <c r="J847" s="37">
        <v>12964.38</v>
      </c>
      <c r="K847" s="35">
        <v>278</v>
      </c>
      <c r="L847" s="37">
        <v>46.63</v>
      </c>
      <c r="M847" s="37">
        <v>46631</v>
      </c>
      <c r="N847" s="38">
        <v>3.6</v>
      </c>
    </row>
    <row r="848" spans="1:14" x14ac:dyDescent="0.3">
      <c r="A848" s="33">
        <v>45486</v>
      </c>
      <c r="B848" s="34" t="s">
        <v>74</v>
      </c>
      <c r="C848" s="34" t="s">
        <v>75</v>
      </c>
      <c r="D848" s="34" t="s">
        <v>62</v>
      </c>
      <c r="E848" s="34" t="s">
        <v>77</v>
      </c>
      <c r="F848" s="35">
        <v>140793</v>
      </c>
      <c r="G848" s="35">
        <v>2886</v>
      </c>
      <c r="H848" s="36">
        <v>2.0500000000000001E-2</v>
      </c>
      <c r="I848" s="37">
        <v>1.52</v>
      </c>
      <c r="J848" s="37">
        <v>4386.72</v>
      </c>
      <c r="K848" s="35">
        <v>141</v>
      </c>
      <c r="L848" s="37">
        <v>31.11</v>
      </c>
      <c r="M848" s="37">
        <v>12104.44</v>
      </c>
      <c r="N848" s="38">
        <v>2.76</v>
      </c>
    </row>
    <row r="849" spans="1:14" x14ac:dyDescent="0.3">
      <c r="A849" s="33">
        <v>45497</v>
      </c>
      <c r="B849" s="34" t="s">
        <v>74</v>
      </c>
      <c r="C849" s="34" t="s">
        <v>61</v>
      </c>
      <c r="D849" s="34" t="s">
        <v>62</v>
      </c>
      <c r="E849" s="34" t="s">
        <v>73</v>
      </c>
      <c r="F849" s="35">
        <v>8970</v>
      </c>
      <c r="G849" s="35">
        <v>306</v>
      </c>
      <c r="H849" s="36">
        <v>3.4200000000000001E-2</v>
      </c>
      <c r="I849" s="37">
        <v>0.6</v>
      </c>
      <c r="J849" s="37">
        <v>183.6</v>
      </c>
      <c r="K849" s="35">
        <v>22</v>
      </c>
      <c r="L849" s="37">
        <v>8.35</v>
      </c>
      <c r="M849" s="37">
        <v>4976.05</v>
      </c>
      <c r="N849" s="38">
        <v>27.1</v>
      </c>
    </row>
    <row r="850" spans="1:14" x14ac:dyDescent="0.3">
      <c r="A850" s="33">
        <v>45644</v>
      </c>
      <c r="B850" s="34" t="s">
        <v>74</v>
      </c>
      <c r="C850" s="34" t="s">
        <v>75</v>
      </c>
      <c r="D850" s="34" t="s">
        <v>62</v>
      </c>
      <c r="E850" s="34" t="s">
        <v>72</v>
      </c>
      <c r="F850" s="35">
        <v>177825</v>
      </c>
      <c r="G850" s="35">
        <v>4285</v>
      </c>
      <c r="H850" s="36">
        <v>2.41E-2</v>
      </c>
      <c r="I850" s="37">
        <v>0.78</v>
      </c>
      <c r="J850" s="37">
        <v>3342.3</v>
      </c>
      <c r="K850" s="35">
        <v>163</v>
      </c>
      <c r="L850" s="37">
        <v>20.5</v>
      </c>
      <c r="M850" s="37">
        <v>29602.7</v>
      </c>
      <c r="N850" s="38">
        <v>8.86</v>
      </c>
    </row>
    <row r="851" spans="1:14" x14ac:dyDescent="0.3">
      <c r="A851" s="33">
        <v>45633</v>
      </c>
      <c r="B851" s="34" t="s">
        <v>74</v>
      </c>
      <c r="C851" s="34" t="s">
        <v>75</v>
      </c>
      <c r="D851" s="34" t="s">
        <v>71</v>
      </c>
      <c r="E851" s="34" t="s">
        <v>63</v>
      </c>
      <c r="F851" s="35">
        <v>122512</v>
      </c>
      <c r="G851" s="35">
        <v>4532</v>
      </c>
      <c r="H851" s="36">
        <v>3.6999999999999998E-2</v>
      </c>
      <c r="I851" s="37">
        <v>1.84</v>
      </c>
      <c r="J851" s="37">
        <v>8338.8799999999992</v>
      </c>
      <c r="K851" s="35">
        <v>61</v>
      </c>
      <c r="L851" s="37">
        <v>136.69999999999999</v>
      </c>
      <c r="M851" s="37">
        <v>5305.8</v>
      </c>
      <c r="N851" s="38">
        <v>0.64</v>
      </c>
    </row>
    <row r="852" spans="1:14" x14ac:dyDescent="0.3">
      <c r="A852" s="33">
        <v>45452</v>
      </c>
      <c r="B852" s="34" t="s">
        <v>60</v>
      </c>
      <c r="C852" s="34" t="s">
        <v>61</v>
      </c>
      <c r="D852" s="34" t="s">
        <v>65</v>
      </c>
      <c r="E852" s="34" t="s">
        <v>73</v>
      </c>
      <c r="F852" s="35">
        <v>107548</v>
      </c>
      <c r="G852" s="35">
        <v>4258</v>
      </c>
      <c r="H852" s="36">
        <v>3.9600000000000003E-2</v>
      </c>
      <c r="I852" s="37">
        <v>3.2</v>
      </c>
      <c r="J852" s="37">
        <v>13625.6</v>
      </c>
      <c r="K852" s="35">
        <v>145</v>
      </c>
      <c r="L852" s="37">
        <v>93.97</v>
      </c>
      <c r="M852" s="37">
        <v>17656.919999999998</v>
      </c>
      <c r="N852" s="38">
        <v>1.3</v>
      </c>
    </row>
    <row r="853" spans="1:14" x14ac:dyDescent="0.3">
      <c r="A853" s="33">
        <v>45479</v>
      </c>
      <c r="B853" s="34" t="s">
        <v>64</v>
      </c>
      <c r="C853" s="34" t="s">
        <v>75</v>
      </c>
      <c r="D853" s="34" t="s">
        <v>68</v>
      </c>
      <c r="E853" s="34" t="s">
        <v>66</v>
      </c>
      <c r="F853" s="35">
        <v>89224</v>
      </c>
      <c r="G853" s="35">
        <v>5255</v>
      </c>
      <c r="H853" s="36">
        <v>5.8900000000000001E-2</v>
      </c>
      <c r="I853" s="37">
        <v>1.99</v>
      </c>
      <c r="J853" s="37">
        <v>10457.450000000001</v>
      </c>
      <c r="K853" s="35">
        <v>336</v>
      </c>
      <c r="L853" s="37">
        <v>31.12</v>
      </c>
      <c r="M853" s="37">
        <v>94667.83</v>
      </c>
      <c r="N853" s="38">
        <v>9.0500000000000007</v>
      </c>
    </row>
    <row r="854" spans="1:14" x14ac:dyDescent="0.3">
      <c r="A854" s="33">
        <v>45592</v>
      </c>
      <c r="B854" s="34" t="s">
        <v>74</v>
      </c>
      <c r="C854" s="34" t="s">
        <v>75</v>
      </c>
      <c r="D854" s="34" t="s">
        <v>76</v>
      </c>
      <c r="E854" s="34" t="s">
        <v>66</v>
      </c>
      <c r="F854" s="35">
        <v>100561</v>
      </c>
      <c r="G854" s="35">
        <v>3781</v>
      </c>
      <c r="H854" s="36">
        <v>3.7600000000000001E-2</v>
      </c>
      <c r="I854" s="37">
        <v>1.39</v>
      </c>
      <c r="J854" s="37">
        <v>5255.59</v>
      </c>
      <c r="K854" s="35">
        <v>124</v>
      </c>
      <c r="L854" s="37">
        <v>42.38</v>
      </c>
      <c r="M854" s="37">
        <v>34626.86</v>
      </c>
      <c r="N854" s="38">
        <v>6.59</v>
      </c>
    </row>
    <row r="855" spans="1:14" x14ac:dyDescent="0.3">
      <c r="A855" s="33">
        <v>45443</v>
      </c>
      <c r="B855" s="34" t="s">
        <v>60</v>
      </c>
      <c r="C855" s="34" t="s">
        <v>61</v>
      </c>
      <c r="D855" s="34" t="s">
        <v>62</v>
      </c>
      <c r="E855" s="34" t="s">
        <v>63</v>
      </c>
      <c r="F855" s="35">
        <v>50111</v>
      </c>
      <c r="G855" s="35">
        <v>2320</v>
      </c>
      <c r="H855" s="36">
        <v>4.6300000000000001E-2</v>
      </c>
      <c r="I855" s="37">
        <v>2.73</v>
      </c>
      <c r="J855" s="37">
        <v>6333.6</v>
      </c>
      <c r="K855" s="35">
        <v>153</v>
      </c>
      <c r="L855" s="37">
        <v>41.4</v>
      </c>
      <c r="M855" s="37">
        <v>30016.66</v>
      </c>
      <c r="N855" s="38">
        <v>4.74</v>
      </c>
    </row>
    <row r="856" spans="1:14" x14ac:dyDescent="0.3">
      <c r="A856" s="33">
        <v>45373</v>
      </c>
      <c r="B856" s="34" t="s">
        <v>60</v>
      </c>
      <c r="C856" s="34" t="s">
        <v>75</v>
      </c>
      <c r="D856" s="34" t="s">
        <v>71</v>
      </c>
      <c r="E856" s="34" t="s">
        <v>72</v>
      </c>
      <c r="F856" s="35">
        <v>65985</v>
      </c>
      <c r="G856" s="35">
        <v>1445</v>
      </c>
      <c r="H856" s="36">
        <v>2.1899999999999999E-2</v>
      </c>
      <c r="I856" s="37">
        <v>0.82</v>
      </c>
      <c r="J856" s="37">
        <v>1184.9000000000001</v>
      </c>
      <c r="K856" s="35">
        <v>63</v>
      </c>
      <c r="L856" s="37">
        <v>18.809999999999999</v>
      </c>
      <c r="M856" s="37">
        <v>4237.8500000000004</v>
      </c>
      <c r="N856" s="38">
        <v>3.58</v>
      </c>
    </row>
    <row r="857" spans="1:14" x14ac:dyDescent="0.3">
      <c r="A857" s="33">
        <v>45498</v>
      </c>
      <c r="B857" s="34" t="s">
        <v>74</v>
      </c>
      <c r="C857" s="34" t="s">
        <v>67</v>
      </c>
      <c r="D857" s="34" t="s">
        <v>76</v>
      </c>
      <c r="E857" s="34" t="s">
        <v>72</v>
      </c>
      <c r="F857" s="35">
        <v>93257</v>
      </c>
      <c r="G857" s="35">
        <v>1930</v>
      </c>
      <c r="H857" s="36">
        <v>2.07E-2</v>
      </c>
      <c r="I857" s="37">
        <v>1.32</v>
      </c>
      <c r="J857" s="37">
        <v>2547.6</v>
      </c>
      <c r="K857" s="35">
        <v>102</v>
      </c>
      <c r="L857" s="37">
        <v>24.98</v>
      </c>
      <c r="M857" s="37">
        <v>26767.95</v>
      </c>
      <c r="N857" s="38">
        <v>10.51</v>
      </c>
    </row>
    <row r="858" spans="1:14" x14ac:dyDescent="0.3">
      <c r="A858" s="33">
        <v>45650</v>
      </c>
      <c r="B858" s="34" t="s">
        <v>64</v>
      </c>
      <c r="C858" s="34" t="s">
        <v>61</v>
      </c>
      <c r="D858" s="34" t="s">
        <v>71</v>
      </c>
      <c r="E858" s="34" t="s">
        <v>77</v>
      </c>
      <c r="F858" s="35">
        <v>102847</v>
      </c>
      <c r="G858" s="35">
        <v>6458</v>
      </c>
      <c r="H858" s="36">
        <v>6.2799999999999995E-2</v>
      </c>
      <c r="I858" s="37">
        <v>1.17</v>
      </c>
      <c r="J858" s="37">
        <v>7555.86</v>
      </c>
      <c r="K858" s="35">
        <v>314</v>
      </c>
      <c r="L858" s="37">
        <v>24.06</v>
      </c>
      <c r="M858" s="37">
        <v>81199.399999999994</v>
      </c>
      <c r="N858" s="38">
        <v>10.75</v>
      </c>
    </row>
    <row r="859" spans="1:14" x14ac:dyDescent="0.3">
      <c r="A859" s="33">
        <v>45340</v>
      </c>
      <c r="B859" s="34" t="s">
        <v>74</v>
      </c>
      <c r="C859" s="34" t="s">
        <v>61</v>
      </c>
      <c r="D859" s="34" t="s">
        <v>71</v>
      </c>
      <c r="E859" s="34" t="s">
        <v>63</v>
      </c>
      <c r="F859" s="35">
        <v>161738</v>
      </c>
      <c r="G859" s="35">
        <v>5046</v>
      </c>
      <c r="H859" s="36">
        <v>3.1199999999999999E-2</v>
      </c>
      <c r="I859" s="37">
        <v>1.66</v>
      </c>
      <c r="J859" s="37">
        <v>8376.36</v>
      </c>
      <c r="K859" s="35">
        <v>258</v>
      </c>
      <c r="L859" s="37">
        <v>32.47</v>
      </c>
      <c r="M859" s="37">
        <v>29417.67</v>
      </c>
      <c r="N859" s="38">
        <v>3.51</v>
      </c>
    </row>
    <row r="860" spans="1:14" x14ac:dyDescent="0.3">
      <c r="A860" s="33">
        <v>45419</v>
      </c>
      <c r="B860" s="34" t="s">
        <v>74</v>
      </c>
      <c r="C860" s="34" t="s">
        <v>70</v>
      </c>
      <c r="D860" s="34" t="s">
        <v>68</v>
      </c>
      <c r="E860" s="34" t="s">
        <v>78</v>
      </c>
      <c r="F860" s="35">
        <v>46516</v>
      </c>
      <c r="G860" s="35">
        <v>772</v>
      </c>
      <c r="H860" s="36">
        <v>1.66E-2</v>
      </c>
      <c r="I860" s="37">
        <v>0.59</v>
      </c>
      <c r="J860" s="37">
        <v>455.48</v>
      </c>
      <c r="K860" s="35">
        <v>39</v>
      </c>
      <c r="L860" s="37">
        <v>11.68</v>
      </c>
      <c r="M860" s="37">
        <v>4874.74</v>
      </c>
      <c r="N860" s="38">
        <v>10.7</v>
      </c>
    </row>
    <row r="861" spans="1:14" x14ac:dyDescent="0.3">
      <c r="A861" s="33">
        <v>45598</v>
      </c>
      <c r="B861" s="34" t="s">
        <v>60</v>
      </c>
      <c r="C861" s="34" t="s">
        <v>67</v>
      </c>
      <c r="D861" s="34" t="s">
        <v>71</v>
      </c>
      <c r="E861" s="34" t="s">
        <v>73</v>
      </c>
      <c r="F861" s="35">
        <v>7802</v>
      </c>
      <c r="G861" s="35">
        <v>340</v>
      </c>
      <c r="H861" s="36">
        <v>4.3700000000000003E-2</v>
      </c>
      <c r="I861" s="37">
        <v>2.37</v>
      </c>
      <c r="J861" s="37">
        <v>805.8</v>
      </c>
      <c r="K861" s="35">
        <v>14</v>
      </c>
      <c r="L861" s="37">
        <v>57.56</v>
      </c>
      <c r="M861" s="37">
        <v>799.08</v>
      </c>
      <c r="N861" s="38">
        <v>0.99</v>
      </c>
    </row>
    <row r="862" spans="1:14" x14ac:dyDescent="0.3">
      <c r="A862" s="33">
        <v>45587</v>
      </c>
      <c r="B862" s="34" t="s">
        <v>60</v>
      </c>
      <c r="C862" s="34" t="s">
        <v>61</v>
      </c>
      <c r="D862" s="34" t="s">
        <v>65</v>
      </c>
      <c r="E862" s="34" t="s">
        <v>69</v>
      </c>
      <c r="F862" s="35">
        <v>15960</v>
      </c>
      <c r="G862" s="35">
        <v>750</v>
      </c>
      <c r="H862" s="36">
        <v>4.7E-2</v>
      </c>
      <c r="I862" s="37">
        <v>1.72</v>
      </c>
      <c r="J862" s="37">
        <v>1290</v>
      </c>
      <c r="K862" s="35">
        <v>40</v>
      </c>
      <c r="L862" s="37">
        <v>32.25</v>
      </c>
      <c r="M862" s="37">
        <v>6919.55</v>
      </c>
      <c r="N862" s="38">
        <v>5.36</v>
      </c>
    </row>
    <row r="863" spans="1:14" x14ac:dyDescent="0.3">
      <c r="A863" s="33">
        <v>45307</v>
      </c>
      <c r="B863" s="34" t="s">
        <v>64</v>
      </c>
      <c r="C863" s="34" t="s">
        <v>70</v>
      </c>
      <c r="D863" s="34" t="s">
        <v>71</v>
      </c>
      <c r="E863" s="34" t="s">
        <v>78</v>
      </c>
      <c r="F863" s="35">
        <v>55701</v>
      </c>
      <c r="G863" s="35">
        <v>4138</v>
      </c>
      <c r="H863" s="36">
        <v>7.4300000000000005E-2</v>
      </c>
      <c r="I863" s="37">
        <v>0.34</v>
      </c>
      <c r="J863" s="37">
        <v>1406.92</v>
      </c>
      <c r="K863" s="35">
        <v>229</v>
      </c>
      <c r="L863" s="37">
        <v>6.14</v>
      </c>
      <c r="M863" s="37">
        <v>20016.59</v>
      </c>
      <c r="N863" s="38">
        <v>14.23</v>
      </c>
    </row>
    <row r="864" spans="1:14" x14ac:dyDescent="0.3">
      <c r="A864" s="33">
        <v>45473</v>
      </c>
      <c r="B864" s="34" t="s">
        <v>60</v>
      </c>
      <c r="C864" s="34" t="s">
        <v>75</v>
      </c>
      <c r="D864" s="34" t="s">
        <v>76</v>
      </c>
      <c r="E864" s="34" t="s">
        <v>77</v>
      </c>
      <c r="F864" s="35">
        <v>64757</v>
      </c>
      <c r="G864" s="35">
        <v>3976</v>
      </c>
      <c r="H864" s="36">
        <v>6.1400000000000003E-2</v>
      </c>
      <c r="I864" s="37">
        <v>1.43</v>
      </c>
      <c r="J864" s="37">
        <v>5685.68</v>
      </c>
      <c r="K864" s="35">
        <v>58</v>
      </c>
      <c r="L864" s="37">
        <v>98.03</v>
      </c>
      <c r="M864" s="37">
        <v>4380.33</v>
      </c>
      <c r="N864" s="38">
        <v>0.77</v>
      </c>
    </row>
    <row r="865" spans="1:14" x14ac:dyDescent="0.3">
      <c r="A865" s="33">
        <v>45386</v>
      </c>
      <c r="B865" s="34" t="s">
        <v>64</v>
      </c>
      <c r="C865" s="34" t="s">
        <v>61</v>
      </c>
      <c r="D865" s="34" t="s">
        <v>71</v>
      </c>
      <c r="E865" s="34" t="s">
        <v>66</v>
      </c>
      <c r="F865" s="35">
        <v>199291</v>
      </c>
      <c r="G865" s="35">
        <v>16660</v>
      </c>
      <c r="H865" s="36">
        <v>8.3599999999999994E-2</v>
      </c>
      <c r="I865" s="37">
        <v>1.1599999999999999</v>
      </c>
      <c r="J865" s="37">
        <v>19325.599999999999</v>
      </c>
      <c r="K865" s="35">
        <v>1016</v>
      </c>
      <c r="L865" s="37">
        <v>19.02</v>
      </c>
      <c r="M865" s="37">
        <v>207611.26</v>
      </c>
      <c r="N865" s="38">
        <v>10.74</v>
      </c>
    </row>
    <row r="866" spans="1:14" x14ac:dyDescent="0.3">
      <c r="A866" s="33">
        <v>45553</v>
      </c>
      <c r="B866" s="34" t="s">
        <v>64</v>
      </c>
      <c r="C866" s="34" t="s">
        <v>70</v>
      </c>
      <c r="D866" s="34" t="s">
        <v>65</v>
      </c>
      <c r="E866" s="34" t="s">
        <v>66</v>
      </c>
      <c r="F866" s="35">
        <v>116800</v>
      </c>
      <c r="G866" s="35">
        <v>8351</v>
      </c>
      <c r="H866" s="36">
        <v>7.1499999999999994E-2</v>
      </c>
      <c r="I866" s="37">
        <v>0.7</v>
      </c>
      <c r="J866" s="37">
        <v>5845.7</v>
      </c>
      <c r="K866" s="35">
        <v>493</v>
      </c>
      <c r="L866" s="37">
        <v>11.86</v>
      </c>
      <c r="M866" s="37">
        <v>80828.759999999995</v>
      </c>
      <c r="N866" s="38">
        <v>13.83</v>
      </c>
    </row>
    <row r="867" spans="1:14" x14ac:dyDescent="0.3">
      <c r="A867" s="33">
        <v>45595</v>
      </c>
      <c r="B867" s="34" t="s">
        <v>74</v>
      </c>
      <c r="C867" s="34" t="s">
        <v>70</v>
      </c>
      <c r="D867" s="34" t="s">
        <v>68</v>
      </c>
      <c r="E867" s="34" t="s">
        <v>73</v>
      </c>
      <c r="F867" s="35">
        <v>88470</v>
      </c>
      <c r="G867" s="35">
        <v>2459</v>
      </c>
      <c r="H867" s="36">
        <v>2.7799999999999998E-2</v>
      </c>
      <c r="I867" s="37">
        <v>0.99</v>
      </c>
      <c r="J867" s="37">
        <v>2434.41</v>
      </c>
      <c r="K867" s="35">
        <v>165</v>
      </c>
      <c r="L867" s="37">
        <v>14.75</v>
      </c>
      <c r="M867" s="37">
        <v>44145</v>
      </c>
      <c r="N867" s="38">
        <v>18.13</v>
      </c>
    </row>
    <row r="868" spans="1:14" x14ac:dyDescent="0.3">
      <c r="A868" s="33">
        <v>45358</v>
      </c>
      <c r="B868" s="34" t="s">
        <v>64</v>
      </c>
      <c r="C868" s="34" t="s">
        <v>75</v>
      </c>
      <c r="D868" s="34" t="s">
        <v>68</v>
      </c>
      <c r="E868" s="34" t="s">
        <v>78</v>
      </c>
      <c r="F868" s="35">
        <v>186782</v>
      </c>
      <c r="G868" s="35">
        <v>14270</v>
      </c>
      <c r="H868" s="36">
        <v>7.6399999999999996E-2</v>
      </c>
      <c r="I868" s="37">
        <v>1.08</v>
      </c>
      <c r="J868" s="37">
        <v>15411.6</v>
      </c>
      <c r="K868" s="35">
        <v>931</v>
      </c>
      <c r="L868" s="37">
        <v>16.55</v>
      </c>
      <c r="M868" s="37">
        <v>224929.42</v>
      </c>
      <c r="N868" s="38">
        <v>14.59</v>
      </c>
    </row>
    <row r="869" spans="1:14" x14ac:dyDescent="0.3">
      <c r="A869" s="33">
        <v>45634</v>
      </c>
      <c r="B869" s="34" t="s">
        <v>60</v>
      </c>
      <c r="C869" s="34" t="s">
        <v>75</v>
      </c>
      <c r="D869" s="34" t="s">
        <v>68</v>
      </c>
      <c r="E869" s="34" t="s">
        <v>63</v>
      </c>
      <c r="F869" s="35">
        <v>121832</v>
      </c>
      <c r="G869" s="35">
        <v>6786</v>
      </c>
      <c r="H869" s="36">
        <v>5.57E-2</v>
      </c>
      <c r="I869" s="37">
        <v>1.18</v>
      </c>
      <c r="J869" s="37">
        <v>8007.48</v>
      </c>
      <c r="K869" s="35">
        <v>139</v>
      </c>
      <c r="L869" s="37">
        <v>57.61</v>
      </c>
      <c r="M869" s="37">
        <v>28929.72</v>
      </c>
      <c r="N869" s="38">
        <v>3.61</v>
      </c>
    </row>
    <row r="870" spans="1:14" x14ac:dyDescent="0.3">
      <c r="A870" s="33">
        <v>45546</v>
      </c>
      <c r="B870" s="34" t="s">
        <v>60</v>
      </c>
      <c r="C870" s="34" t="s">
        <v>67</v>
      </c>
      <c r="D870" s="34" t="s">
        <v>76</v>
      </c>
      <c r="E870" s="34" t="s">
        <v>69</v>
      </c>
      <c r="F870" s="35">
        <v>88514</v>
      </c>
      <c r="G870" s="35">
        <v>1610</v>
      </c>
      <c r="H870" s="36">
        <v>1.8200000000000001E-2</v>
      </c>
      <c r="I870" s="37">
        <v>0.86</v>
      </c>
      <c r="J870" s="37">
        <v>1384.6</v>
      </c>
      <c r="K870" s="35">
        <v>77</v>
      </c>
      <c r="L870" s="37">
        <v>17.98</v>
      </c>
      <c r="M870" s="37">
        <v>22165.040000000001</v>
      </c>
      <c r="N870" s="38">
        <v>16.010000000000002</v>
      </c>
    </row>
    <row r="871" spans="1:14" x14ac:dyDescent="0.3">
      <c r="A871" s="33">
        <v>45579</v>
      </c>
      <c r="B871" s="34" t="s">
        <v>74</v>
      </c>
      <c r="C871" s="34" t="s">
        <v>75</v>
      </c>
      <c r="D871" s="34" t="s">
        <v>62</v>
      </c>
      <c r="E871" s="34" t="s">
        <v>77</v>
      </c>
      <c r="F871" s="35">
        <v>125424</v>
      </c>
      <c r="G871" s="35">
        <v>3787</v>
      </c>
      <c r="H871" s="36">
        <v>3.0200000000000001E-2</v>
      </c>
      <c r="I871" s="37">
        <v>0.48</v>
      </c>
      <c r="J871" s="37">
        <v>1817.76</v>
      </c>
      <c r="K871" s="35">
        <v>253</v>
      </c>
      <c r="L871" s="37">
        <v>7.18</v>
      </c>
      <c r="M871" s="37">
        <v>36320.54</v>
      </c>
      <c r="N871" s="38">
        <v>19.98</v>
      </c>
    </row>
    <row r="872" spans="1:14" x14ac:dyDescent="0.3">
      <c r="A872" s="33">
        <v>45632</v>
      </c>
      <c r="B872" s="34" t="s">
        <v>64</v>
      </c>
      <c r="C872" s="34" t="s">
        <v>67</v>
      </c>
      <c r="D872" s="34" t="s">
        <v>68</v>
      </c>
      <c r="E872" s="34" t="s">
        <v>63</v>
      </c>
      <c r="F872" s="35">
        <v>23883</v>
      </c>
      <c r="G872" s="35">
        <v>1332</v>
      </c>
      <c r="H872" s="36">
        <v>5.5800000000000002E-2</v>
      </c>
      <c r="I872" s="37">
        <v>1.56</v>
      </c>
      <c r="J872" s="37">
        <v>2077.92</v>
      </c>
      <c r="K872" s="35">
        <v>66</v>
      </c>
      <c r="L872" s="37">
        <v>31.48</v>
      </c>
      <c r="M872" s="37">
        <v>10903.46</v>
      </c>
      <c r="N872" s="38">
        <v>5.25</v>
      </c>
    </row>
    <row r="873" spans="1:14" x14ac:dyDescent="0.3">
      <c r="A873" s="33">
        <v>45420</v>
      </c>
      <c r="B873" s="34" t="s">
        <v>74</v>
      </c>
      <c r="C873" s="34" t="s">
        <v>70</v>
      </c>
      <c r="D873" s="34" t="s">
        <v>76</v>
      </c>
      <c r="E873" s="34" t="s">
        <v>72</v>
      </c>
      <c r="F873" s="35">
        <v>49864</v>
      </c>
      <c r="G873" s="35">
        <v>2074</v>
      </c>
      <c r="H873" s="36">
        <v>4.1599999999999998E-2</v>
      </c>
      <c r="I873" s="37">
        <v>1.75</v>
      </c>
      <c r="J873" s="37">
        <v>3629.5</v>
      </c>
      <c r="K873" s="35">
        <v>73</v>
      </c>
      <c r="L873" s="37">
        <v>49.72</v>
      </c>
      <c r="M873" s="37">
        <v>14018.44</v>
      </c>
      <c r="N873" s="38">
        <v>3.86</v>
      </c>
    </row>
    <row r="874" spans="1:14" x14ac:dyDescent="0.3">
      <c r="A874" s="33">
        <v>45500</v>
      </c>
      <c r="B874" s="34" t="s">
        <v>60</v>
      </c>
      <c r="C874" s="34" t="s">
        <v>67</v>
      </c>
      <c r="D874" s="34" t="s">
        <v>71</v>
      </c>
      <c r="E874" s="34" t="s">
        <v>63</v>
      </c>
      <c r="F874" s="35">
        <v>190890</v>
      </c>
      <c r="G874" s="35">
        <v>7616</v>
      </c>
      <c r="H874" s="36">
        <v>3.9899999999999998E-2</v>
      </c>
      <c r="I874" s="37">
        <v>1.1599999999999999</v>
      </c>
      <c r="J874" s="37">
        <v>8834.56</v>
      </c>
      <c r="K874" s="35">
        <v>141</v>
      </c>
      <c r="L874" s="37">
        <v>62.66</v>
      </c>
      <c r="M874" s="37">
        <v>25751.07</v>
      </c>
      <c r="N874" s="38">
        <v>2.91</v>
      </c>
    </row>
    <row r="875" spans="1:14" x14ac:dyDescent="0.3">
      <c r="A875" s="33">
        <v>45598</v>
      </c>
      <c r="B875" s="34" t="s">
        <v>60</v>
      </c>
      <c r="C875" s="34" t="s">
        <v>75</v>
      </c>
      <c r="D875" s="34" t="s">
        <v>65</v>
      </c>
      <c r="E875" s="34" t="s">
        <v>66</v>
      </c>
      <c r="F875" s="35">
        <v>146295</v>
      </c>
      <c r="G875" s="35">
        <v>3394</v>
      </c>
      <c r="H875" s="36">
        <v>2.3199999999999998E-2</v>
      </c>
      <c r="I875" s="37">
        <v>3.41</v>
      </c>
      <c r="J875" s="37">
        <v>11573.54</v>
      </c>
      <c r="K875" s="35">
        <v>195</v>
      </c>
      <c r="L875" s="37">
        <v>59.35</v>
      </c>
      <c r="M875" s="37">
        <v>49666.69</v>
      </c>
      <c r="N875" s="38">
        <v>4.29</v>
      </c>
    </row>
    <row r="876" spans="1:14" x14ac:dyDescent="0.3">
      <c r="A876" s="33">
        <v>45558</v>
      </c>
      <c r="B876" s="34" t="s">
        <v>74</v>
      </c>
      <c r="C876" s="34" t="s">
        <v>61</v>
      </c>
      <c r="D876" s="34" t="s">
        <v>71</v>
      </c>
      <c r="E876" s="34" t="s">
        <v>77</v>
      </c>
      <c r="F876" s="35">
        <v>29343</v>
      </c>
      <c r="G876" s="35">
        <v>346</v>
      </c>
      <c r="H876" s="36">
        <v>1.18E-2</v>
      </c>
      <c r="I876" s="37">
        <v>2.0099999999999998</v>
      </c>
      <c r="J876" s="37">
        <v>695.46</v>
      </c>
      <c r="K876" s="35">
        <v>7</v>
      </c>
      <c r="L876" s="37">
        <v>99.35</v>
      </c>
      <c r="M876" s="37">
        <v>672.01</v>
      </c>
      <c r="N876" s="38">
        <v>0.97</v>
      </c>
    </row>
    <row r="877" spans="1:14" x14ac:dyDescent="0.3">
      <c r="A877" s="33">
        <v>45560</v>
      </c>
      <c r="B877" s="34" t="s">
        <v>64</v>
      </c>
      <c r="C877" s="34" t="s">
        <v>75</v>
      </c>
      <c r="D877" s="34" t="s">
        <v>65</v>
      </c>
      <c r="E877" s="34" t="s">
        <v>78</v>
      </c>
      <c r="F877" s="35">
        <v>154712</v>
      </c>
      <c r="G877" s="35">
        <v>10288</v>
      </c>
      <c r="H877" s="36">
        <v>6.6500000000000004E-2</v>
      </c>
      <c r="I877" s="37">
        <v>1.08</v>
      </c>
      <c r="J877" s="37">
        <v>11111.04</v>
      </c>
      <c r="K877" s="35">
        <v>439</v>
      </c>
      <c r="L877" s="37">
        <v>25.31</v>
      </c>
      <c r="M877" s="37">
        <v>80440.02</v>
      </c>
      <c r="N877" s="38">
        <v>7.24</v>
      </c>
    </row>
    <row r="878" spans="1:14" x14ac:dyDescent="0.3">
      <c r="A878" s="33">
        <v>45388</v>
      </c>
      <c r="B878" s="34" t="s">
        <v>64</v>
      </c>
      <c r="C878" s="34" t="s">
        <v>67</v>
      </c>
      <c r="D878" s="34" t="s">
        <v>65</v>
      </c>
      <c r="E878" s="34" t="s">
        <v>72</v>
      </c>
      <c r="F878" s="35">
        <v>60438</v>
      </c>
      <c r="G878" s="35">
        <v>5554</v>
      </c>
      <c r="H878" s="36">
        <v>9.1899999999999996E-2</v>
      </c>
      <c r="I878" s="37">
        <v>1.44</v>
      </c>
      <c r="J878" s="37">
        <v>7997.76</v>
      </c>
      <c r="K878" s="35">
        <v>286</v>
      </c>
      <c r="L878" s="37">
        <v>27.96</v>
      </c>
      <c r="M878" s="37">
        <v>35506.6</v>
      </c>
      <c r="N878" s="38">
        <v>4.4400000000000004</v>
      </c>
    </row>
    <row r="879" spans="1:14" x14ac:dyDescent="0.3">
      <c r="A879" s="33">
        <v>45444</v>
      </c>
      <c r="B879" s="34" t="s">
        <v>60</v>
      </c>
      <c r="C879" s="34" t="s">
        <v>70</v>
      </c>
      <c r="D879" s="34" t="s">
        <v>65</v>
      </c>
      <c r="E879" s="34" t="s">
        <v>78</v>
      </c>
      <c r="F879" s="35">
        <v>18149</v>
      </c>
      <c r="G879" s="35">
        <v>918</v>
      </c>
      <c r="H879" s="36">
        <v>5.0599999999999999E-2</v>
      </c>
      <c r="I879" s="37">
        <v>1.62</v>
      </c>
      <c r="J879" s="37">
        <v>1487.16</v>
      </c>
      <c r="K879" s="35">
        <v>14</v>
      </c>
      <c r="L879" s="37">
        <v>106.23</v>
      </c>
      <c r="M879" s="37">
        <v>3557.93</v>
      </c>
      <c r="N879" s="38">
        <v>2.39</v>
      </c>
    </row>
    <row r="880" spans="1:14" x14ac:dyDescent="0.3">
      <c r="A880" s="33">
        <v>45567</v>
      </c>
      <c r="B880" s="34" t="s">
        <v>64</v>
      </c>
      <c r="C880" s="34" t="s">
        <v>70</v>
      </c>
      <c r="D880" s="34" t="s">
        <v>71</v>
      </c>
      <c r="E880" s="34" t="s">
        <v>72</v>
      </c>
      <c r="F880" s="35">
        <v>39626</v>
      </c>
      <c r="G880" s="35">
        <v>1172</v>
      </c>
      <c r="H880" s="36">
        <v>2.9600000000000001E-2</v>
      </c>
      <c r="I880" s="37">
        <v>0.57999999999999996</v>
      </c>
      <c r="J880" s="37">
        <v>679.76</v>
      </c>
      <c r="K880" s="35">
        <v>22</v>
      </c>
      <c r="L880" s="37">
        <v>30.9</v>
      </c>
      <c r="M880" s="37">
        <v>1100.5899999999999</v>
      </c>
      <c r="N880" s="38">
        <v>1.62</v>
      </c>
    </row>
    <row r="881" spans="1:14" x14ac:dyDescent="0.3">
      <c r="A881" s="33">
        <v>45402</v>
      </c>
      <c r="B881" s="34" t="s">
        <v>64</v>
      </c>
      <c r="C881" s="34" t="s">
        <v>70</v>
      </c>
      <c r="D881" s="34" t="s">
        <v>76</v>
      </c>
      <c r="E881" s="34" t="s">
        <v>63</v>
      </c>
      <c r="F881" s="35">
        <v>103730</v>
      </c>
      <c r="G881" s="35">
        <v>4335</v>
      </c>
      <c r="H881" s="36">
        <v>4.1799999999999997E-2</v>
      </c>
      <c r="I881" s="37">
        <v>1.48</v>
      </c>
      <c r="J881" s="37">
        <v>6415.8</v>
      </c>
      <c r="K881" s="35">
        <v>104</v>
      </c>
      <c r="L881" s="37">
        <v>61.69</v>
      </c>
      <c r="M881" s="37">
        <v>27379.91</v>
      </c>
      <c r="N881" s="38">
        <v>4.2699999999999996</v>
      </c>
    </row>
    <row r="882" spans="1:14" x14ac:dyDescent="0.3">
      <c r="A882" s="33">
        <v>45472</v>
      </c>
      <c r="B882" s="34" t="s">
        <v>60</v>
      </c>
      <c r="C882" s="34" t="s">
        <v>75</v>
      </c>
      <c r="D882" s="34" t="s">
        <v>68</v>
      </c>
      <c r="E882" s="34" t="s">
        <v>69</v>
      </c>
      <c r="F882" s="35">
        <v>35346</v>
      </c>
      <c r="G882" s="35">
        <v>1279</v>
      </c>
      <c r="H882" s="36">
        <v>3.6200000000000003E-2</v>
      </c>
      <c r="I882" s="37">
        <v>2.54</v>
      </c>
      <c r="J882" s="37">
        <v>3248.66</v>
      </c>
      <c r="K882" s="35">
        <v>48</v>
      </c>
      <c r="L882" s="37">
        <v>67.680000000000007</v>
      </c>
      <c r="M882" s="37">
        <v>1649.56</v>
      </c>
      <c r="N882" s="38">
        <v>0.51</v>
      </c>
    </row>
    <row r="883" spans="1:14" x14ac:dyDescent="0.3">
      <c r="A883" s="33">
        <v>45321</v>
      </c>
      <c r="B883" s="34" t="s">
        <v>74</v>
      </c>
      <c r="C883" s="34" t="s">
        <v>67</v>
      </c>
      <c r="D883" s="34" t="s">
        <v>68</v>
      </c>
      <c r="E883" s="34" t="s">
        <v>78</v>
      </c>
      <c r="F883" s="35">
        <v>57776</v>
      </c>
      <c r="G883" s="35">
        <v>1490</v>
      </c>
      <c r="H883" s="36">
        <v>2.58E-2</v>
      </c>
      <c r="I883" s="37">
        <v>1.18</v>
      </c>
      <c r="J883" s="37">
        <v>1758.2</v>
      </c>
      <c r="K883" s="35">
        <v>107</v>
      </c>
      <c r="L883" s="37">
        <v>16.43</v>
      </c>
      <c r="M883" s="37">
        <v>22435.51</v>
      </c>
      <c r="N883" s="38">
        <v>12.76</v>
      </c>
    </row>
    <row r="884" spans="1:14" x14ac:dyDescent="0.3">
      <c r="A884" s="33">
        <v>45560</v>
      </c>
      <c r="B884" s="34" t="s">
        <v>74</v>
      </c>
      <c r="C884" s="34" t="s">
        <v>70</v>
      </c>
      <c r="D884" s="34" t="s">
        <v>71</v>
      </c>
      <c r="E884" s="34" t="s">
        <v>63</v>
      </c>
      <c r="F884" s="35">
        <v>178916</v>
      </c>
      <c r="G884" s="35">
        <v>4723</v>
      </c>
      <c r="H884" s="36">
        <v>2.64E-2</v>
      </c>
      <c r="I884" s="37">
        <v>1.54</v>
      </c>
      <c r="J884" s="37">
        <v>7273.42</v>
      </c>
      <c r="K884" s="35">
        <v>147</v>
      </c>
      <c r="L884" s="37">
        <v>49.48</v>
      </c>
      <c r="M884" s="37">
        <v>29612.74</v>
      </c>
      <c r="N884" s="38">
        <v>4.07</v>
      </c>
    </row>
    <row r="885" spans="1:14" x14ac:dyDescent="0.3">
      <c r="A885" s="33">
        <v>45641</v>
      </c>
      <c r="B885" s="34" t="s">
        <v>74</v>
      </c>
      <c r="C885" s="34" t="s">
        <v>61</v>
      </c>
      <c r="D885" s="34" t="s">
        <v>62</v>
      </c>
      <c r="E885" s="34" t="s">
        <v>73</v>
      </c>
      <c r="F885" s="35">
        <v>34778</v>
      </c>
      <c r="G885" s="35">
        <v>705</v>
      </c>
      <c r="H885" s="36">
        <v>2.0299999999999999E-2</v>
      </c>
      <c r="I885" s="37">
        <v>1.56</v>
      </c>
      <c r="J885" s="37">
        <v>1099.8</v>
      </c>
      <c r="K885" s="35">
        <v>35</v>
      </c>
      <c r="L885" s="37">
        <v>31.42</v>
      </c>
      <c r="M885" s="37">
        <v>2280.29</v>
      </c>
      <c r="N885" s="38">
        <v>2.0699999999999998</v>
      </c>
    </row>
    <row r="886" spans="1:14" x14ac:dyDescent="0.3">
      <c r="A886" s="33">
        <v>45448</v>
      </c>
      <c r="B886" s="34" t="s">
        <v>64</v>
      </c>
      <c r="C886" s="34" t="s">
        <v>61</v>
      </c>
      <c r="D886" s="34" t="s">
        <v>62</v>
      </c>
      <c r="E886" s="34" t="s">
        <v>78</v>
      </c>
      <c r="F886" s="35">
        <v>179120</v>
      </c>
      <c r="G886" s="35">
        <v>8794</v>
      </c>
      <c r="H886" s="36">
        <v>4.9099999999999998E-2</v>
      </c>
      <c r="I886" s="37">
        <v>0.96</v>
      </c>
      <c r="J886" s="37">
        <v>8442.24</v>
      </c>
      <c r="K886" s="35">
        <v>646</v>
      </c>
      <c r="L886" s="37">
        <v>13.07</v>
      </c>
      <c r="M886" s="37">
        <v>31918.959999999999</v>
      </c>
      <c r="N886" s="38">
        <v>3.78</v>
      </c>
    </row>
    <row r="887" spans="1:14" x14ac:dyDescent="0.3">
      <c r="A887" s="33">
        <v>45462</v>
      </c>
      <c r="B887" s="34" t="s">
        <v>74</v>
      </c>
      <c r="C887" s="34" t="s">
        <v>75</v>
      </c>
      <c r="D887" s="34" t="s">
        <v>62</v>
      </c>
      <c r="E887" s="34" t="s">
        <v>63</v>
      </c>
      <c r="F887" s="35">
        <v>91706</v>
      </c>
      <c r="G887" s="35">
        <v>1650</v>
      </c>
      <c r="H887" s="36">
        <v>1.7999999999999999E-2</v>
      </c>
      <c r="I887" s="37">
        <v>1.68</v>
      </c>
      <c r="J887" s="37">
        <v>2772</v>
      </c>
      <c r="K887" s="35">
        <v>80</v>
      </c>
      <c r="L887" s="37">
        <v>34.65</v>
      </c>
      <c r="M887" s="37">
        <v>8391.32</v>
      </c>
      <c r="N887" s="38">
        <v>3.03</v>
      </c>
    </row>
    <row r="888" spans="1:14" x14ac:dyDescent="0.3">
      <c r="A888" s="33">
        <v>45551</v>
      </c>
      <c r="B888" s="34" t="s">
        <v>74</v>
      </c>
      <c r="C888" s="34" t="s">
        <v>75</v>
      </c>
      <c r="D888" s="34" t="s">
        <v>65</v>
      </c>
      <c r="E888" s="34" t="s">
        <v>72</v>
      </c>
      <c r="F888" s="35">
        <v>7056</v>
      </c>
      <c r="G888" s="35">
        <v>227</v>
      </c>
      <c r="H888" s="36">
        <v>3.2199999999999999E-2</v>
      </c>
      <c r="I888" s="37">
        <v>0.82</v>
      </c>
      <c r="J888" s="37">
        <v>186.14</v>
      </c>
      <c r="K888" s="35">
        <v>6</v>
      </c>
      <c r="L888" s="37">
        <v>31.02</v>
      </c>
      <c r="M888" s="37">
        <v>1653.16</v>
      </c>
      <c r="N888" s="38">
        <v>8.8800000000000008</v>
      </c>
    </row>
    <row r="889" spans="1:14" x14ac:dyDescent="0.3">
      <c r="A889" s="33">
        <v>45312</v>
      </c>
      <c r="B889" s="34" t="s">
        <v>74</v>
      </c>
      <c r="C889" s="34" t="s">
        <v>75</v>
      </c>
      <c r="D889" s="34" t="s">
        <v>76</v>
      </c>
      <c r="E889" s="34" t="s">
        <v>72</v>
      </c>
      <c r="F889" s="35">
        <v>161646</v>
      </c>
      <c r="G889" s="35">
        <v>5253</v>
      </c>
      <c r="H889" s="36">
        <v>3.2500000000000001E-2</v>
      </c>
      <c r="I889" s="37">
        <v>1</v>
      </c>
      <c r="J889" s="37">
        <v>5253</v>
      </c>
      <c r="K889" s="35">
        <v>228</v>
      </c>
      <c r="L889" s="37">
        <v>23.04</v>
      </c>
      <c r="M889" s="37">
        <v>43732.39</v>
      </c>
      <c r="N889" s="38">
        <v>8.33</v>
      </c>
    </row>
    <row r="890" spans="1:14" x14ac:dyDescent="0.3">
      <c r="A890" s="33">
        <v>45387</v>
      </c>
      <c r="B890" s="34" t="s">
        <v>60</v>
      </c>
      <c r="C890" s="34" t="s">
        <v>67</v>
      </c>
      <c r="D890" s="34" t="s">
        <v>71</v>
      </c>
      <c r="E890" s="34" t="s">
        <v>73</v>
      </c>
      <c r="F890" s="35">
        <v>177115</v>
      </c>
      <c r="G890" s="35">
        <v>8005</v>
      </c>
      <c r="H890" s="36">
        <v>4.5199999999999997E-2</v>
      </c>
      <c r="I890" s="37">
        <v>2.9</v>
      </c>
      <c r="J890" s="37">
        <v>23214.5</v>
      </c>
      <c r="K890" s="35">
        <v>460</v>
      </c>
      <c r="L890" s="37">
        <v>50.47</v>
      </c>
      <c r="M890" s="37">
        <v>108688.43</v>
      </c>
      <c r="N890" s="38">
        <v>4.68</v>
      </c>
    </row>
    <row r="891" spans="1:14" x14ac:dyDescent="0.3">
      <c r="A891" s="33">
        <v>45568</v>
      </c>
      <c r="B891" s="34" t="s">
        <v>64</v>
      </c>
      <c r="C891" s="34" t="s">
        <v>61</v>
      </c>
      <c r="D891" s="34" t="s">
        <v>68</v>
      </c>
      <c r="E891" s="34" t="s">
        <v>78</v>
      </c>
      <c r="F891" s="35">
        <v>141087</v>
      </c>
      <c r="G891" s="35">
        <v>10609</v>
      </c>
      <c r="H891" s="36">
        <v>7.5200000000000003E-2</v>
      </c>
      <c r="I891" s="37">
        <v>0.44</v>
      </c>
      <c r="J891" s="37">
        <v>4667.96</v>
      </c>
      <c r="K891" s="35">
        <v>737</v>
      </c>
      <c r="L891" s="37">
        <v>6.33</v>
      </c>
      <c r="M891" s="37">
        <v>190244.62</v>
      </c>
      <c r="N891" s="38">
        <v>40.76</v>
      </c>
    </row>
    <row r="892" spans="1:14" x14ac:dyDescent="0.3">
      <c r="A892" s="33">
        <v>45599</v>
      </c>
      <c r="B892" s="34" t="s">
        <v>64</v>
      </c>
      <c r="C892" s="34" t="s">
        <v>67</v>
      </c>
      <c r="D892" s="34" t="s">
        <v>71</v>
      </c>
      <c r="E892" s="34" t="s">
        <v>78</v>
      </c>
      <c r="F892" s="35">
        <v>184745</v>
      </c>
      <c r="G892" s="35">
        <v>12451</v>
      </c>
      <c r="H892" s="36">
        <v>6.7400000000000002E-2</v>
      </c>
      <c r="I892" s="37">
        <v>1.67</v>
      </c>
      <c r="J892" s="37">
        <v>20793.169999999998</v>
      </c>
      <c r="K892" s="35">
        <v>404</v>
      </c>
      <c r="L892" s="37">
        <v>51.47</v>
      </c>
      <c r="M892" s="37">
        <v>23357.33</v>
      </c>
      <c r="N892" s="38">
        <v>1.1200000000000001</v>
      </c>
    </row>
    <row r="893" spans="1:14" x14ac:dyDescent="0.3">
      <c r="A893" s="33">
        <v>45545</v>
      </c>
      <c r="B893" s="34" t="s">
        <v>60</v>
      </c>
      <c r="C893" s="34" t="s">
        <v>70</v>
      </c>
      <c r="D893" s="34" t="s">
        <v>76</v>
      </c>
      <c r="E893" s="34" t="s">
        <v>63</v>
      </c>
      <c r="F893" s="35">
        <v>104969</v>
      </c>
      <c r="G893" s="35">
        <v>5773</v>
      </c>
      <c r="H893" s="36">
        <v>5.5E-2</v>
      </c>
      <c r="I893" s="37">
        <v>1.42</v>
      </c>
      <c r="J893" s="37">
        <v>8197.66</v>
      </c>
      <c r="K893" s="35">
        <v>142</v>
      </c>
      <c r="L893" s="37">
        <v>57.73</v>
      </c>
      <c r="M893" s="37">
        <v>24245.52</v>
      </c>
      <c r="N893" s="38">
        <v>2.96</v>
      </c>
    </row>
    <row r="894" spans="1:14" x14ac:dyDescent="0.3">
      <c r="A894" s="33">
        <v>45446</v>
      </c>
      <c r="B894" s="34" t="s">
        <v>64</v>
      </c>
      <c r="C894" s="34" t="s">
        <v>70</v>
      </c>
      <c r="D894" s="34" t="s">
        <v>62</v>
      </c>
      <c r="E894" s="34" t="s">
        <v>77</v>
      </c>
      <c r="F894" s="35">
        <v>80885</v>
      </c>
      <c r="G894" s="35">
        <v>3995</v>
      </c>
      <c r="H894" s="36">
        <v>4.9399999999999999E-2</v>
      </c>
      <c r="I894" s="37">
        <v>0.44</v>
      </c>
      <c r="J894" s="37">
        <v>1757.8</v>
      </c>
      <c r="K894" s="35">
        <v>79</v>
      </c>
      <c r="L894" s="37">
        <v>22.25</v>
      </c>
      <c r="M894" s="37">
        <v>10692.34</v>
      </c>
      <c r="N894" s="38">
        <v>6.08</v>
      </c>
    </row>
    <row r="895" spans="1:14" x14ac:dyDescent="0.3">
      <c r="A895" s="33">
        <v>45397</v>
      </c>
      <c r="B895" s="34" t="s">
        <v>60</v>
      </c>
      <c r="C895" s="34" t="s">
        <v>67</v>
      </c>
      <c r="D895" s="34" t="s">
        <v>76</v>
      </c>
      <c r="E895" s="34" t="s">
        <v>73</v>
      </c>
      <c r="F895" s="35">
        <v>33807</v>
      </c>
      <c r="G895" s="35">
        <v>807</v>
      </c>
      <c r="H895" s="36">
        <v>2.3900000000000001E-2</v>
      </c>
      <c r="I895" s="37">
        <v>2.0299999999999998</v>
      </c>
      <c r="J895" s="37">
        <v>1638.21</v>
      </c>
      <c r="K895" s="35">
        <v>25</v>
      </c>
      <c r="L895" s="37">
        <v>65.53</v>
      </c>
      <c r="M895" s="37">
        <v>5072.7700000000004</v>
      </c>
      <c r="N895" s="38">
        <v>3.1</v>
      </c>
    </row>
    <row r="896" spans="1:14" x14ac:dyDescent="0.3">
      <c r="A896" s="33">
        <v>45372</v>
      </c>
      <c r="B896" s="34" t="s">
        <v>74</v>
      </c>
      <c r="C896" s="34" t="s">
        <v>61</v>
      </c>
      <c r="D896" s="34" t="s">
        <v>71</v>
      </c>
      <c r="E896" s="34" t="s">
        <v>77</v>
      </c>
      <c r="F896" s="35">
        <v>198074</v>
      </c>
      <c r="G896" s="35">
        <v>5783</v>
      </c>
      <c r="H896" s="36">
        <v>2.92E-2</v>
      </c>
      <c r="I896" s="37">
        <v>0.61</v>
      </c>
      <c r="J896" s="37">
        <v>3527.63</v>
      </c>
      <c r="K896" s="35">
        <v>263</v>
      </c>
      <c r="L896" s="37">
        <v>13.41</v>
      </c>
      <c r="M896" s="37">
        <v>60037.86</v>
      </c>
      <c r="N896" s="38">
        <v>17.02</v>
      </c>
    </row>
    <row r="897" spans="1:14" x14ac:dyDescent="0.3">
      <c r="A897" s="33">
        <v>45613</v>
      </c>
      <c r="B897" s="34" t="s">
        <v>60</v>
      </c>
      <c r="C897" s="34" t="s">
        <v>61</v>
      </c>
      <c r="D897" s="34" t="s">
        <v>65</v>
      </c>
      <c r="E897" s="34" t="s">
        <v>66</v>
      </c>
      <c r="F897" s="35">
        <v>115282</v>
      </c>
      <c r="G897" s="35">
        <v>4876</v>
      </c>
      <c r="H897" s="36">
        <v>4.2299999999999997E-2</v>
      </c>
      <c r="I897" s="37">
        <v>3.76</v>
      </c>
      <c r="J897" s="37">
        <v>18333.759999999998</v>
      </c>
      <c r="K897" s="35">
        <v>77</v>
      </c>
      <c r="L897" s="37">
        <v>238.1</v>
      </c>
      <c r="M897" s="37">
        <v>2427.15</v>
      </c>
      <c r="N897" s="38">
        <v>0.13</v>
      </c>
    </row>
    <row r="898" spans="1:14" x14ac:dyDescent="0.3">
      <c r="A898" s="33">
        <v>45349</v>
      </c>
      <c r="B898" s="34" t="s">
        <v>60</v>
      </c>
      <c r="C898" s="34" t="s">
        <v>75</v>
      </c>
      <c r="D898" s="34" t="s">
        <v>68</v>
      </c>
      <c r="E898" s="34" t="s">
        <v>69</v>
      </c>
      <c r="F898" s="35">
        <v>45880</v>
      </c>
      <c r="G898" s="35">
        <v>2817</v>
      </c>
      <c r="H898" s="36">
        <v>6.1400000000000003E-2</v>
      </c>
      <c r="I898" s="37">
        <v>1.1399999999999999</v>
      </c>
      <c r="J898" s="37">
        <v>3211.38</v>
      </c>
      <c r="K898" s="35">
        <v>62</v>
      </c>
      <c r="L898" s="37">
        <v>51.8</v>
      </c>
      <c r="M898" s="37">
        <v>2770.83</v>
      </c>
      <c r="N898" s="38">
        <v>0.86</v>
      </c>
    </row>
    <row r="899" spans="1:14" x14ac:dyDescent="0.3">
      <c r="A899" s="33">
        <v>45433</v>
      </c>
      <c r="B899" s="34" t="s">
        <v>74</v>
      </c>
      <c r="C899" s="34" t="s">
        <v>61</v>
      </c>
      <c r="D899" s="34" t="s">
        <v>68</v>
      </c>
      <c r="E899" s="34" t="s">
        <v>72</v>
      </c>
      <c r="F899" s="35">
        <v>20993</v>
      </c>
      <c r="G899" s="35">
        <v>583</v>
      </c>
      <c r="H899" s="36">
        <v>2.7799999999999998E-2</v>
      </c>
      <c r="I899" s="37">
        <v>1.28</v>
      </c>
      <c r="J899" s="37">
        <v>746.24</v>
      </c>
      <c r="K899" s="35">
        <v>45</v>
      </c>
      <c r="L899" s="37">
        <v>16.579999999999998</v>
      </c>
      <c r="M899" s="37">
        <v>4493.83</v>
      </c>
      <c r="N899" s="38">
        <v>6.02</v>
      </c>
    </row>
    <row r="900" spans="1:14" x14ac:dyDescent="0.3">
      <c r="A900" s="33">
        <v>45362</v>
      </c>
      <c r="B900" s="34" t="s">
        <v>60</v>
      </c>
      <c r="C900" s="34" t="s">
        <v>67</v>
      </c>
      <c r="D900" s="34" t="s">
        <v>71</v>
      </c>
      <c r="E900" s="34" t="s">
        <v>73</v>
      </c>
      <c r="F900" s="35">
        <v>183448</v>
      </c>
      <c r="G900" s="35">
        <v>8053</v>
      </c>
      <c r="H900" s="36">
        <v>4.3900000000000002E-2</v>
      </c>
      <c r="I900" s="37">
        <v>2.08</v>
      </c>
      <c r="J900" s="37">
        <v>16750.240000000002</v>
      </c>
      <c r="K900" s="35">
        <v>351</v>
      </c>
      <c r="L900" s="37">
        <v>47.72</v>
      </c>
      <c r="M900" s="37">
        <v>74979.38</v>
      </c>
      <c r="N900" s="38">
        <v>4.4800000000000004</v>
      </c>
    </row>
    <row r="901" spans="1:14" x14ac:dyDescent="0.3">
      <c r="A901" s="33">
        <v>45312</v>
      </c>
      <c r="B901" s="34" t="s">
        <v>64</v>
      </c>
      <c r="C901" s="34" t="s">
        <v>70</v>
      </c>
      <c r="D901" s="34" t="s">
        <v>65</v>
      </c>
      <c r="E901" s="34" t="s">
        <v>63</v>
      </c>
      <c r="F901" s="35">
        <v>119944</v>
      </c>
      <c r="G901" s="35">
        <v>9331</v>
      </c>
      <c r="H901" s="36">
        <v>7.7799999999999994E-2</v>
      </c>
      <c r="I901" s="37">
        <v>0.61</v>
      </c>
      <c r="J901" s="37">
        <v>5691.91</v>
      </c>
      <c r="K901" s="35">
        <v>717</v>
      </c>
      <c r="L901" s="37">
        <v>7.94</v>
      </c>
      <c r="M901" s="37">
        <v>101587.49</v>
      </c>
      <c r="N901" s="38">
        <v>17.850000000000001</v>
      </c>
    </row>
    <row r="902" spans="1:14" x14ac:dyDescent="0.3">
      <c r="A902" s="33">
        <v>45318</v>
      </c>
      <c r="B902" s="34" t="s">
        <v>64</v>
      </c>
      <c r="C902" s="34" t="s">
        <v>61</v>
      </c>
      <c r="D902" s="34" t="s">
        <v>68</v>
      </c>
      <c r="E902" s="34" t="s">
        <v>73</v>
      </c>
      <c r="F902" s="35">
        <v>69198</v>
      </c>
      <c r="G902" s="35">
        <v>3529</v>
      </c>
      <c r="H902" s="36">
        <v>5.0999999999999997E-2</v>
      </c>
      <c r="I902" s="37">
        <v>0.55000000000000004</v>
      </c>
      <c r="J902" s="37">
        <v>1940.95</v>
      </c>
      <c r="K902" s="35">
        <v>256</v>
      </c>
      <c r="L902" s="37">
        <v>7.58</v>
      </c>
      <c r="M902" s="37">
        <v>15199.33</v>
      </c>
      <c r="N902" s="38">
        <v>7.83</v>
      </c>
    </row>
    <row r="903" spans="1:14" x14ac:dyDescent="0.3">
      <c r="A903" s="33">
        <v>45634</v>
      </c>
      <c r="B903" s="34" t="s">
        <v>74</v>
      </c>
      <c r="C903" s="34" t="s">
        <v>61</v>
      </c>
      <c r="D903" s="34" t="s">
        <v>68</v>
      </c>
      <c r="E903" s="34" t="s">
        <v>66</v>
      </c>
      <c r="F903" s="35">
        <v>46936</v>
      </c>
      <c r="G903" s="35">
        <v>2234</v>
      </c>
      <c r="H903" s="36">
        <v>4.7600000000000003E-2</v>
      </c>
      <c r="I903" s="37">
        <v>0.79</v>
      </c>
      <c r="J903" s="37">
        <v>1764.86</v>
      </c>
      <c r="K903" s="35">
        <v>55</v>
      </c>
      <c r="L903" s="37">
        <v>32.090000000000003</v>
      </c>
      <c r="M903" s="37">
        <v>5977.87</v>
      </c>
      <c r="N903" s="38">
        <v>3.39</v>
      </c>
    </row>
    <row r="904" spans="1:14" x14ac:dyDescent="0.3">
      <c r="A904" s="33">
        <v>45477</v>
      </c>
      <c r="B904" s="34" t="s">
        <v>64</v>
      </c>
      <c r="C904" s="34" t="s">
        <v>67</v>
      </c>
      <c r="D904" s="34" t="s">
        <v>65</v>
      </c>
      <c r="E904" s="34" t="s">
        <v>77</v>
      </c>
      <c r="F904" s="35">
        <v>21689</v>
      </c>
      <c r="G904" s="35">
        <v>895</v>
      </c>
      <c r="H904" s="36">
        <v>4.1300000000000003E-2</v>
      </c>
      <c r="I904" s="37">
        <v>0.95</v>
      </c>
      <c r="J904" s="37">
        <v>850.25</v>
      </c>
      <c r="K904" s="35">
        <v>22</v>
      </c>
      <c r="L904" s="37">
        <v>38.65</v>
      </c>
      <c r="M904" s="37">
        <v>4747.38</v>
      </c>
      <c r="N904" s="38">
        <v>5.58</v>
      </c>
    </row>
    <row r="905" spans="1:14" x14ac:dyDescent="0.3">
      <c r="A905" s="33">
        <v>45365</v>
      </c>
      <c r="B905" s="34" t="s">
        <v>64</v>
      </c>
      <c r="C905" s="34" t="s">
        <v>61</v>
      </c>
      <c r="D905" s="34" t="s">
        <v>65</v>
      </c>
      <c r="E905" s="34" t="s">
        <v>77</v>
      </c>
      <c r="F905" s="35">
        <v>24504</v>
      </c>
      <c r="G905" s="35">
        <v>899</v>
      </c>
      <c r="H905" s="36">
        <v>3.6700000000000003E-2</v>
      </c>
      <c r="I905" s="37">
        <v>1.42</v>
      </c>
      <c r="J905" s="37">
        <v>1276.58</v>
      </c>
      <c r="K905" s="35">
        <v>41</v>
      </c>
      <c r="L905" s="37">
        <v>31.14</v>
      </c>
      <c r="M905" s="37">
        <v>3721.4</v>
      </c>
      <c r="N905" s="38">
        <v>2.92</v>
      </c>
    </row>
    <row r="906" spans="1:14" x14ac:dyDescent="0.3">
      <c r="A906" s="33">
        <v>45398</v>
      </c>
      <c r="B906" s="34" t="s">
        <v>74</v>
      </c>
      <c r="C906" s="34" t="s">
        <v>70</v>
      </c>
      <c r="D906" s="34" t="s">
        <v>76</v>
      </c>
      <c r="E906" s="34" t="s">
        <v>73</v>
      </c>
      <c r="F906" s="35">
        <v>119053</v>
      </c>
      <c r="G906" s="35">
        <v>4000</v>
      </c>
      <c r="H906" s="36">
        <v>3.3599999999999998E-2</v>
      </c>
      <c r="I906" s="37">
        <v>1.01</v>
      </c>
      <c r="J906" s="37">
        <v>4040</v>
      </c>
      <c r="K906" s="35">
        <v>152</v>
      </c>
      <c r="L906" s="37">
        <v>26.58</v>
      </c>
      <c r="M906" s="37">
        <v>25959.16</v>
      </c>
      <c r="N906" s="38">
        <v>6.43</v>
      </c>
    </row>
    <row r="907" spans="1:14" x14ac:dyDescent="0.3">
      <c r="A907" s="33">
        <v>45312</v>
      </c>
      <c r="B907" s="34" t="s">
        <v>64</v>
      </c>
      <c r="C907" s="34" t="s">
        <v>61</v>
      </c>
      <c r="D907" s="34" t="s">
        <v>68</v>
      </c>
      <c r="E907" s="34" t="s">
        <v>73</v>
      </c>
      <c r="F907" s="35">
        <v>160522</v>
      </c>
      <c r="G907" s="35">
        <v>5425</v>
      </c>
      <c r="H907" s="36">
        <v>3.3799999999999997E-2</v>
      </c>
      <c r="I907" s="37">
        <v>1.1100000000000001</v>
      </c>
      <c r="J907" s="37">
        <v>6021.75</v>
      </c>
      <c r="K907" s="35">
        <v>398</v>
      </c>
      <c r="L907" s="37">
        <v>15.13</v>
      </c>
      <c r="M907" s="37">
        <v>79057.929999999993</v>
      </c>
      <c r="N907" s="38">
        <v>13.13</v>
      </c>
    </row>
    <row r="908" spans="1:14" x14ac:dyDescent="0.3">
      <c r="A908" s="33">
        <v>45508</v>
      </c>
      <c r="B908" s="34" t="s">
        <v>60</v>
      </c>
      <c r="C908" s="34" t="s">
        <v>70</v>
      </c>
      <c r="D908" s="34" t="s">
        <v>65</v>
      </c>
      <c r="E908" s="34" t="s">
        <v>66</v>
      </c>
      <c r="F908" s="35">
        <v>158627</v>
      </c>
      <c r="G908" s="35">
        <v>7725</v>
      </c>
      <c r="H908" s="36">
        <v>4.87E-2</v>
      </c>
      <c r="I908" s="37">
        <v>2.88</v>
      </c>
      <c r="J908" s="37">
        <v>22248</v>
      </c>
      <c r="K908" s="35">
        <v>299</v>
      </c>
      <c r="L908" s="37">
        <v>74.41</v>
      </c>
      <c r="M908" s="37">
        <v>66700.13</v>
      </c>
      <c r="N908" s="38">
        <v>3</v>
      </c>
    </row>
    <row r="909" spans="1:14" x14ac:dyDescent="0.3">
      <c r="A909" s="33">
        <v>45469</v>
      </c>
      <c r="B909" s="34" t="s">
        <v>74</v>
      </c>
      <c r="C909" s="34" t="s">
        <v>67</v>
      </c>
      <c r="D909" s="34" t="s">
        <v>71</v>
      </c>
      <c r="E909" s="34" t="s">
        <v>72</v>
      </c>
      <c r="F909" s="35">
        <v>157955</v>
      </c>
      <c r="G909" s="35">
        <v>2780</v>
      </c>
      <c r="H909" s="36">
        <v>1.7600000000000001E-2</v>
      </c>
      <c r="I909" s="37">
        <v>0.62</v>
      </c>
      <c r="J909" s="37">
        <v>1723.6</v>
      </c>
      <c r="K909" s="35">
        <v>202</v>
      </c>
      <c r="L909" s="37">
        <v>8.5299999999999994</v>
      </c>
      <c r="M909" s="37">
        <v>49191.360000000001</v>
      </c>
      <c r="N909" s="38">
        <v>28.54</v>
      </c>
    </row>
    <row r="910" spans="1:14" x14ac:dyDescent="0.3">
      <c r="A910" s="33">
        <v>45367</v>
      </c>
      <c r="B910" s="34" t="s">
        <v>74</v>
      </c>
      <c r="C910" s="34" t="s">
        <v>70</v>
      </c>
      <c r="D910" s="34" t="s">
        <v>65</v>
      </c>
      <c r="E910" s="34" t="s">
        <v>69</v>
      </c>
      <c r="F910" s="35">
        <v>196112</v>
      </c>
      <c r="G910" s="35">
        <v>2647</v>
      </c>
      <c r="H910" s="36">
        <v>1.35E-2</v>
      </c>
      <c r="I910" s="37">
        <v>1.51</v>
      </c>
      <c r="J910" s="37">
        <v>3996.97</v>
      </c>
      <c r="K910" s="35">
        <v>187</v>
      </c>
      <c r="L910" s="37">
        <v>21.37</v>
      </c>
      <c r="M910" s="37">
        <v>16387.669999999998</v>
      </c>
      <c r="N910" s="38">
        <v>4.0999999999999996</v>
      </c>
    </row>
    <row r="911" spans="1:14" x14ac:dyDescent="0.3">
      <c r="A911" s="33">
        <v>45337</v>
      </c>
      <c r="B911" s="34" t="s">
        <v>74</v>
      </c>
      <c r="C911" s="34" t="s">
        <v>75</v>
      </c>
      <c r="D911" s="34" t="s">
        <v>65</v>
      </c>
      <c r="E911" s="34" t="s">
        <v>72</v>
      </c>
      <c r="F911" s="35">
        <v>67167</v>
      </c>
      <c r="G911" s="35">
        <v>1907</v>
      </c>
      <c r="H911" s="36">
        <v>2.8400000000000002E-2</v>
      </c>
      <c r="I911" s="37">
        <v>1.43</v>
      </c>
      <c r="J911" s="37">
        <v>2727.01</v>
      </c>
      <c r="K911" s="35">
        <v>114</v>
      </c>
      <c r="L911" s="37">
        <v>23.92</v>
      </c>
      <c r="M911" s="37">
        <v>20596.75</v>
      </c>
      <c r="N911" s="38">
        <v>7.55</v>
      </c>
    </row>
    <row r="912" spans="1:14" x14ac:dyDescent="0.3">
      <c r="A912" s="33">
        <v>45511</v>
      </c>
      <c r="B912" s="34" t="s">
        <v>60</v>
      </c>
      <c r="C912" s="34" t="s">
        <v>75</v>
      </c>
      <c r="D912" s="34" t="s">
        <v>68</v>
      </c>
      <c r="E912" s="34" t="s">
        <v>77</v>
      </c>
      <c r="F912" s="35">
        <v>90550</v>
      </c>
      <c r="G912" s="35">
        <v>3966</v>
      </c>
      <c r="H912" s="36">
        <v>4.3799999999999999E-2</v>
      </c>
      <c r="I912" s="37">
        <v>2.76</v>
      </c>
      <c r="J912" s="37">
        <v>10946.16</v>
      </c>
      <c r="K912" s="35">
        <v>207</v>
      </c>
      <c r="L912" s="37">
        <v>52.88</v>
      </c>
      <c r="M912" s="37">
        <v>7960.57</v>
      </c>
      <c r="N912" s="38">
        <v>0.73</v>
      </c>
    </row>
    <row r="913" spans="1:14" x14ac:dyDescent="0.3">
      <c r="A913" s="33">
        <v>45542</v>
      </c>
      <c r="B913" s="34" t="s">
        <v>60</v>
      </c>
      <c r="C913" s="34" t="s">
        <v>70</v>
      </c>
      <c r="D913" s="34" t="s">
        <v>65</v>
      </c>
      <c r="E913" s="34" t="s">
        <v>69</v>
      </c>
      <c r="F913" s="35">
        <v>91150</v>
      </c>
      <c r="G913" s="35">
        <v>4119</v>
      </c>
      <c r="H913" s="36">
        <v>4.5199999999999997E-2</v>
      </c>
      <c r="I913" s="37">
        <v>3.83</v>
      </c>
      <c r="J913" s="37">
        <v>15775.77</v>
      </c>
      <c r="K913" s="35">
        <v>98</v>
      </c>
      <c r="L913" s="37">
        <v>160.97999999999999</v>
      </c>
      <c r="M913" s="37">
        <v>4547.95</v>
      </c>
      <c r="N913" s="38">
        <v>0.28999999999999998</v>
      </c>
    </row>
    <row r="914" spans="1:14" x14ac:dyDescent="0.3">
      <c r="A914" s="33">
        <v>45402</v>
      </c>
      <c r="B914" s="34" t="s">
        <v>60</v>
      </c>
      <c r="C914" s="34" t="s">
        <v>75</v>
      </c>
      <c r="D914" s="34" t="s">
        <v>62</v>
      </c>
      <c r="E914" s="34" t="s">
        <v>77</v>
      </c>
      <c r="F914" s="35">
        <v>157832</v>
      </c>
      <c r="G914" s="35">
        <v>4072</v>
      </c>
      <c r="H914" s="36">
        <v>2.58E-2</v>
      </c>
      <c r="I914" s="37">
        <v>2.38</v>
      </c>
      <c r="J914" s="37">
        <v>9691.36</v>
      </c>
      <c r="K914" s="35">
        <v>124</v>
      </c>
      <c r="L914" s="37">
        <v>78.16</v>
      </c>
      <c r="M914" s="37">
        <v>34560.39</v>
      </c>
      <c r="N914" s="38">
        <v>3.57</v>
      </c>
    </row>
    <row r="915" spans="1:14" x14ac:dyDescent="0.3">
      <c r="A915" s="33">
        <v>45562</v>
      </c>
      <c r="B915" s="34" t="s">
        <v>60</v>
      </c>
      <c r="C915" s="34" t="s">
        <v>67</v>
      </c>
      <c r="D915" s="34" t="s">
        <v>62</v>
      </c>
      <c r="E915" s="34" t="s">
        <v>77</v>
      </c>
      <c r="F915" s="35">
        <v>28958</v>
      </c>
      <c r="G915" s="35">
        <v>1355</v>
      </c>
      <c r="H915" s="36">
        <v>4.6800000000000001E-2</v>
      </c>
      <c r="I915" s="37">
        <v>2.87</v>
      </c>
      <c r="J915" s="37">
        <v>3888.85</v>
      </c>
      <c r="K915" s="35">
        <v>49</v>
      </c>
      <c r="L915" s="37">
        <v>79.36</v>
      </c>
      <c r="M915" s="37">
        <v>13909.3</v>
      </c>
      <c r="N915" s="38">
        <v>3.58</v>
      </c>
    </row>
    <row r="916" spans="1:14" x14ac:dyDescent="0.3">
      <c r="A916" s="33">
        <v>45605</v>
      </c>
      <c r="B916" s="34" t="s">
        <v>74</v>
      </c>
      <c r="C916" s="34" t="s">
        <v>70</v>
      </c>
      <c r="D916" s="34" t="s">
        <v>65</v>
      </c>
      <c r="E916" s="34" t="s">
        <v>63</v>
      </c>
      <c r="F916" s="35">
        <v>8487</v>
      </c>
      <c r="G916" s="35">
        <v>271</v>
      </c>
      <c r="H916" s="36">
        <v>3.2000000000000001E-2</v>
      </c>
      <c r="I916" s="37">
        <v>0.91</v>
      </c>
      <c r="J916" s="37">
        <v>246.61</v>
      </c>
      <c r="K916" s="35">
        <v>14</v>
      </c>
      <c r="L916" s="37">
        <v>17.62</v>
      </c>
      <c r="M916" s="37">
        <v>4179.96</v>
      </c>
      <c r="N916" s="38">
        <v>16.95</v>
      </c>
    </row>
    <row r="917" spans="1:14" x14ac:dyDescent="0.3">
      <c r="A917" s="33">
        <v>45295</v>
      </c>
      <c r="B917" s="34" t="s">
        <v>74</v>
      </c>
      <c r="C917" s="34" t="s">
        <v>70</v>
      </c>
      <c r="D917" s="34" t="s">
        <v>68</v>
      </c>
      <c r="E917" s="34" t="s">
        <v>73</v>
      </c>
      <c r="F917" s="35">
        <v>91284</v>
      </c>
      <c r="G917" s="35">
        <v>2126</v>
      </c>
      <c r="H917" s="36">
        <v>2.3300000000000001E-2</v>
      </c>
      <c r="I917" s="37">
        <v>0.92</v>
      </c>
      <c r="J917" s="37">
        <v>1955.92</v>
      </c>
      <c r="K917" s="35">
        <v>132</v>
      </c>
      <c r="L917" s="37">
        <v>14.82</v>
      </c>
      <c r="M917" s="37">
        <v>23916.94</v>
      </c>
      <c r="N917" s="38">
        <v>12.23</v>
      </c>
    </row>
    <row r="918" spans="1:14" x14ac:dyDescent="0.3">
      <c r="A918" s="33">
        <v>45373</v>
      </c>
      <c r="B918" s="34" t="s">
        <v>74</v>
      </c>
      <c r="C918" s="34" t="s">
        <v>67</v>
      </c>
      <c r="D918" s="34" t="s">
        <v>62</v>
      </c>
      <c r="E918" s="34" t="s">
        <v>72</v>
      </c>
      <c r="F918" s="35">
        <v>84737</v>
      </c>
      <c r="G918" s="35">
        <v>1415</v>
      </c>
      <c r="H918" s="36">
        <v>1.67E-2</v>
      </c>
      <c r="I918" s="37">
        <v>0.61</v>
      </c>
      <c r="J918" s="37">
        <v>863.15</v>
      </c>
      <c r="K918" s="35">
        <v>67</v>
      </c>
      <c r="L918" s="37">
        <v>12.88</v>
      </c>
      <c r="M918" s="37">
        <v>10044.57</v>
      </c>
      <c r="N918" s="38">
        <v>11.64</v>
      </c>
    </row>
    <row r="919" spans="1:14" x14ac:dyDescent="0.3">
      <c r="A919" s="33">
        <v>45622</v>
      </c>
      <c r="B919" s="34" t="s">
        <v>74</v>
      </c>
      <c r="C919" s="34" t="s">
        <v>61</v>
      </c>
      <c r="D919" s="34" t="s">
        <v>65</v>
      </c>
      <c r="E919" s="34" t="s">
        <v>78</v>
      </c>
      <c r="F919" s="35">
        <v>31547</v>
      </c>
      <c r="G919" s="35">
        <v>772</v>
      </c>
      <c r="H919" s="36">
        <v>2.4500000000000001E-2</v>
      </c>
      <c r="I919" s="37">
        <v>1.99</v>
      </c>
      <c r="J919" s="37">
        <v>1536.28</v>
      </c>
      <c r="K919" s="35">
        <v>15</v>
      </c>
      <c r="L919" s="37">
        <v>102.42</v>
      </c>
      <c r="M919" s="37">
        <v>4188.5</v>
      </c>
      <c r="N919" s="38">
        <v>2.73</v>
      </c>
    </row>
    <row r="920" spans="1:14" x14ac:dyDescent="0.3">
      <c r="A920" s="33">
        <v>45655</v>
      </c>
      <c r="B920" s="34" t="s">
        <v>74</v>
      </c>
      <c r="C920" s="34" t="s">
        <v>67</v>
      </c>
      <c r="D920" s="34" t="s">
        <v>71</v>
      </c>
      <c r="E920" s="34" t="s">
        <v>73</v>
      </c>
      <c r="F920" s="35">
        <v>162038</v>
      </c>
      <c r="G920" s="35">
        <v>2722</v>
      </c>
      <c r="H920" s="36">
        <v>1.6799999999999999E-2</v>
      </c>
      <c r="I920" s="37">
        <v>0.77</v>
      </c>
      <c r="J920" s="37">
        <v>2095.94</v>
      </c>
      <c r="K920" s="35">
        <v>71</v>
      </c>
      <c r="L920" s="37">
        <v>29.52</v>
      </c>
      <c r="M920" s="37">
        <v>16951.259999999998</v>
      </c>
      <c r="N920" s="38">
        <v>8.09</v>
      </c>
    </row>
    <row r="921" spans="1:14" x14ac:dyDescent="0.3">
      <c r="A921" s="33">
        <v>45532</v>
      </c>
      <c r="B921" s="34" t="s">
        <v>60</v>
      </c>
      <c r="C921" s="34" t="s">
        <v>67</v>
      </c>
      <c r="D921" s="34" t="s">
        <v>65</v>
      </c>
      <c r="E921" s="34" t="s">
        <v>63</v>
      </c>
      <c r="F921" s="35">
        <v>145119</v>
      </c>
      <c r="G921" s="35">
        <v>9998</v>
      </c>
      <c r="H921" s="36">
        <v>6.8900000000000003E-2</v>
      </c>
      <c r="I921" s="37">
        <v>1.46</v>
      </c>
      <c r="J921" s="37">
        <v>14597.08</v>
      </c>
      <c r="K921" s="35">
        <v>233</v>
      </c>
      <c r="L921" s="37">
        <v>62.65</v>
      </c>
      <c r="M921" s="37">
        <v>60859.85</v>
      </c>
      <c r="N921" s="38">
        <v>4.17</v>
      </c>
    </row>
    <row r="922" spans="1:14" x14ac:dyDescent="0.3">
      <c r="A922" s="33">
        <v>45422</v>
      </c>
      <c r="B922" s="34" t="s">
        <v>64</v>
      </c>
      <c r="C922" s="34" t="s">
        <v>75</v>
      </c>
      <c r="D922" s="34" t="s">
        <v>68</v>
      </c>
      <c r="E922" s="34" t="s">
        <v>73</v>
      </c>
      <c r="F922" s="35">
        <v>92601</v>
      </c>
      <c r="G922" s="35">
        <v>4065</v>
      </c>
      <c r="H922" s="36">
        <v>4.3900000000000002E-2</v>
      </c>
      <c r="I922" s="37">
        <v>0.52</v>
      </c>
      <c r="J922" s="37">
        <v>2113.8000000000002</v>
      </c>
      <c r="K922" s="35">
        <v>324</v>
      </c>
      <c r="L922" s="37">
        <v>6.52</v>
      </c>
      <c r="M922" s="37">
        <v>24076.73</v>
      </c>
      <c r="N922" s="38">
        <v>11.39</v>
      </c>
    </row>
    <row r="923" spans="1:14" x14ac:dyDescent="0.3">
      <c r="A923" s="33">
        <v>45656</v>
      </c>
      <c r="B923" s="34" t="s">
        <v>60</v>
      </c>
      <c r="C923" s="34" t="s">
        <v>70</v>
      </c>
      <c r="D923" s="34" t="s">
        <v>68</v>
      </c>
      <c r="E923" s="34" t="s">
        <v>73</v>
      </c>
      <c r="F923" s="35">
        <v>148041</v>
      </c>
      <c r="G923" s="35">
        <v>8053</v>
      </c>
      <c r="H923" s="36">
        <v>5.4399999999999997E-2</v>
      </c>
      <c r="I923" s="37">
        <v>3.47</v>
      </c>
      <c r="J923" s="37">
        <v>27943.91</v>
      </c>
      <c r="K923" s="35">
        <v>98</v>
      </c>
      <c r="L923" s="37">
        <v>285.14</v>
      </c>
      <c r="M923" s="37">
        <v>4146.07</v>
      </c>
      <c r="N923" s="38">
        <v>0.15</v>
      </c>
    </row>
    <row r="924" spans="1:14" x14ac:dyDescent="0.3">
      <c r="A924" s="33">
        <v>45560</v>
      </c>
      <c r="B924" s="34" t="s">
        <v>60</v>
      </c>
      <c r="C924" s="34" t="s">
        <v>75</v>
      </c>
      <c r="D924" s="34" t="s">
        <v>76</v>
      </c>
      <c r="E924" s="34" t="s">
        <v>66</v>
      </c>
      <c r="F924" s="35">
        <v>25195</v>
      </c>
      <c r="G924" s="35">
        <v>738</v>
      </c>
      <c r="H924" s="36">
        <v>2.93E-2</v>
      </c>
      <c r="I924" s="37">
        <v>2.61</v>
      </c>
      <c r="J924" s="37">
        <v>1926.18</v>
      </c>
      <c r="K924" s="35">
        <v>12</v>
      </c>
      <c r="L924" s="37">
        <v>160.52000000000001</v>
      </c>
      <c r="M924" s="37">
        <v>432.4</v>
      </c>
      <c r="N924" s="38">
        <v>0.22</v>
      </c>
    </row>
    <row r="925" spans="1:14" x14ac:dyDescent="0.3">
      <c r="A925" s="33">
        <v>45312</v>
      </c>
      <c r="B925" s="34" t="s">
        <v>60</v>
      </c>
      <c r="C925" s="34" t="s">
        <v>75</v>
      </c>
      <c r="D925" s="34" t="s">
        <v>65</v>
      </c>
      <c r="E925" s="34" t="s">
        <v>78</v>
      </c>
      <c r="F925" s="35">
        <v>186465</v>
      </c>
      <c r="G925" s="35">
        <v>8689</v>
      </c>
      <c r="H925" s="36">
        <v>4.6600000000000003E-2</v>
      </c>
      <c r="I925" s="37">
        <v>2.42</v>
      </c>
      <c r="J925" s="37">
        <v>21027.38</v>
      </c>
      <c r="K925" s="35">
        <v>367</v>
      </c>
      <c r="L925" s="37">
        <v>57.3</v>
      </c>
      <c r="M925" s="37">
        <v>57833.06</v>
      </c>
      <c r="N925" s="38">
        <v>2.75</v>
      </c>
    </row>
    <row r="926" spans="1:14" x14ac:dyDescent="0.3">
      <c r="A926" s="33">
        <v>45541</v>
      </c>
      <c r="B926" s="34" t="s">
        <v>60</v>
      </c>
      <c r="C926" s="34" t="s">
        <v>70</v>
      </c>
      <c r="D926" s="34" t="s">
        <v>62</v>
      </c>
      <c r="E926" s="34" t="s">
        <v>78</v>
      </c>
      <c r="F926" s="35">
        <v>136960</v>
      </c>
      <c r="G926" s="35">
        <v>5382</v>
      </c>
      <c r="H926" s="36">
        <v>3.9300000000000002E-2</v>
      </c>
      <c r="I926" s="37">
        <v>1.42</v>
      </c>
      <c r="J926" s="37">
        <v>7642.44</v>
      </c>
      <c r="K926" s="35">
        <v>230</v>
      </c>
      <c r="L926" s="37">
        <v>33.229999999999997</v>
      </c>
      <c r="M926" s="37">
        <v>39826.629999999997</v>
      </c>
      <c r="N926" s="38">
        <v>5.21</v>
      </c>
    </row>
    <row r="927" spans="1:14" x14ac:dyDescent="0.3">
      <c r="A927" s="33">
        <v>45403</v>
      </c>
      <c r="B927" s="34" t="s">
        <v>60</v>
      </c>
      <c r="C927" s="34" t="s">
        <v>67</v>
      </c>
      <c r="D927" s="34" t="s">
        <v>65</v>
      </c>
      <c r="E927" s="34" t="s">
        <v>69</v>
      </c>
      <c r="F927" s="35">
        <v>193405</v>
      </c>
      <c r="G927" s="35">
        <v>7852</v>
      </c>
      <c r="H927" s="36">
        <v>4.0599999999999997E-2</v>
      </c>
      <c r="I927" s="37">
        <v>0.96</v>
      </c>
      <c r="J927" s="37">
        <v>7537.92</v>
      </c>
      <c r="K927" s="35">
        <v>459</v>
      </c>
      <c r="L927" s="37">
        <v>16.420000000000002</v>
      </c>
      <c r="M927" s="37">
        <v>79715.61</v>
      </c>
      <c r="N927" s="38">
        <v>10.58</v>
      </c>
    </row>
    <row r="928" spans="1:14" x14ac:dyDescent="0.3">
      <c r="A928" s="33">
        <v>45448</v>
      </c>
      <c r="B928" s="34" t="s">
        <v>74</v>
      </c>
      <c r="C928" s="34" t="s">
        <v>67</v>
      </c>
      <c r="D928" s="34" t="s">
        <v>68</v>
      </c>
      <c r="E928" s="34" t="s">
        <v>69</v>
      </c>
      <c r="F928" s="35">
        <v>118591</v>
      </c>
      <c r="G928" s="35">
        <v>4043</v>
      </c>
      <c r="H928" s="36">
        <v>3.4099999999999998E-2</v>
      </c>
      <c r="I928" s="37">
        <v>1.1499999999999999</v>
      </c>
      <c r="J928" s="37">
        <v>4649.45</v>
      </c>
      <c r="K928" s="35">
        <v>303</v>
      </c>
      <c r="L928" s="37">
        <v>15.34</v>
      </c>
      <c r="M928" s="37">
        <v>36581.129999999997</v>
      </c>
      <c r="N928" s="38">
        <v>7.87</v>
      </c>
    </row>
    <row r="929" spans="1:14" x14ac:dyDescent="0.3">
      <c r="A929" s="33">
        <v>45329</v>
      </c>
      <c r="B929" s="34" t="s">
        <v>60</v>
      </c>
      <c r="C929" s="34" t="s">
        <v>61</v>
      </c>
      <c r="D929" s="34" t="s">
        <v>62</v>
      </c>
      <c r="E929" s="34" t="s">
        <v>72</v>
      </c>
      <c r="F929" s="35">
        <v>163349</v>
      </c>
      <c r="G929" s="35">
        <v>7906</v>
      </c>
      <c r="H929" s="36">
        <v>4.8399999999999999E-2</v>
      </c>
      <c r="I929" s="37">
        <v>2.68</v>
      </c>
      <c r="J929" s="37">
        <v>21188.080000000002</v>
      </c>
      <c r="K929" s="35">
        <v>360</v>
      </c>
      <c r="L929" s="37">
        <v>58.86</v>
      </c>
      <c r="M929" s="37">
        <v>44353.83</v>
      </c>
      <c r="N929" s="38">
        <v>2.09</v>
      </c>
    </row>
    <row r="930" spans="1:14" x14ac:dyDescent="0.3">
      <c r="A930" s="33">
        <v>45535</v>
      </c>
      <c r="B930" s="34" t="s">
        <v>60</v>
      </c>
      <c r="C930" s="34" t="s">
        <v>67</v>
      </c>
      <c r="D930" s="34" t="s">
        <v>68</v>
      </c>
      <c r="E930" s="34" t="s">
        <v>69</v>
      </c>
      <c r="F930" s="35">
        <v>166957</v>
      </c>
      <c r="G930" s="35">
        <v>5476</v>
      </c>
      <c r="H930" s="36">
        <v>3.2800000000000003E-2</v>
      </c>
      <c r="I930" s="37">
        <v>1.22</v>
      </c>
      <c r="J930" s="37">
        <v>6680.72</v>
      </c>
      <c r="K930" s="35">
        <v>137</v>
      </c>
      <c r="L930" s="37">
        <v>48.76</v>
      </c>
      <c r="M930" s="37">
        <v>35345.21</v>
      </c>
      <c r="N930" s="38">
        <v>5.29</v>
      </c>
    </row>
    <row r="931" spans="1:14" x14ac:dyDescent="0.3">
      <c r="A931" s="33">
        <v>45471</v>
      </c>
      <c r="B931" s="34" t="s">
        <v>74</v>
      </c>
      <c r="C931" s="34" t="s">
        <v>75</v>
      </c>
      <c r="D931" s="34" t="s">
        <v>71</v>
      </c>
      <c r="E931" s="34" t="s">
        <v>66</v>
      </c>
      <c r="F931" s="35">
        <v>169818</v>
      </c>
      <c r="G931" s="35">
        <v>4992</v>
      </c>
      <c r="H931" s="36">
        <v>2.9399999999999999E-2</v>
      </c>
      <c r="I931" s="37">
        <v>1.9</v>
      </c>
      <c r="J931" s="37">
        <v>9484.7999999999993</v>
      </c>
      <c r="K931" s="35">
        <v>146</v>
      </c>
      <c r="L931" s="37">
        <v>64.959999999999994</v>
      </c>
      <c r="M931" s="37">
        <v>26864.23</v>
      </c>
      <c r="N931" s="38">
        <v>2.83</v>
      </c>
    </row>
    <row r="932" spans="1:14" x14ac:dyDescent="0.3">
      <c r="A932" s="33">
        <v>45600</v>
      </c>
      <c r="B932" s="34" t="s">
        <v>60</v>
      </c>
      <c r="C932" s="34" t="s">
        <v>75</v>
      </c>
      <c r="D932" s="34" t="s">
        <v>65</v>
      </c>
      <c r="E932" s="34" t="s">
        <v>77</v>
      </c>
      <c r="F932" s="35">
        <v>158441</v>
      </c>
      <c r="G932" s="35">
        <v>3976</v>
      </c>
      <c r="H932" s="36">
        <v>2.5100000000000001E-2</v>
      </c>
      <c r="I932" s="37">
        <v>2.72</v>
      </c>
      <c r="J932" s="37">
        <v>10814.72</v>
      </c>
      <c r="K932" s="35">
        <v>300</v>
      </c>
      <c r="L932" s="37">
        <v>36.049999999999997</v>
      </c>
      <c r="M932" s="37">
        <v>51868.85</v>
      </c>
      <c r="N932" s="38">
        <v>4.8</v>
      </c>
    </row>
    <row r="933" spans="1:14" x14ac:dyDescent="0.3">
      <c r="A933" s="33">
        <v>45651</v>
      </c>
      <c r="B933" s="34" t="s">
        <v>60</v>
      </c>
      <c r="C933" s="34" t="s">
        <v>75</v>
      </c>
      <c r="D933" s="34" t="s">
        <v>76</v>
      </c>
      <c r="E933" s="34" t="s">
        <v>66</v>
      </c>
      <c r="F933" s="35">
        <v>10380</v>
      </c>
      <c r="G933" s="35">
        <v>503</v>
      </c>
      <c r="H933" s="36">
        <v>4.8500000000000001E-2</v>
      </c>
      <c r="I933" s="37">
        <v>2</v>
      </c>
      <c r="J933" s="37">
        <v>1006</v>
      </c>
      <c r="K933" s="35">
        <v>15</v>
      </c>
      <c r="L933" s="37">
        <v>67.069999999999993</v>
      </c>
      <c r="M933" s="37">
        <v>1306.45</v>
      </c>
      <c r="N933" s="38">
        <v>1.3</v>
      </c>
    </row>
    <row r="934" spans="1:14" x14ac:dyDescent="0.3">
      <c r="A934" s="33">
        <v>45556</v>
      </c>
      <c r="B934" s="34" t="s">
        <v>60</v>
      </c>
      <c r="C934" s="34" t="s">
        <v>70</v>
      </c>
      <c r="D934" s="34" t="s">
        <v>71</v>
      </c>
      <c r="E934" s="34" t="s">
        <v>78</v>
      </c>
      <c r="F934" s="35">
        <v>27791</v>
      </c>
      <c r="G934" s="35">
        <v>930</v>
      </c>
      <c r="H934" s="36">
        <v>3.3500000000000002E-2</v>
      </c>
      <c r="I934" s="37">
        <v>1.49</v>
      </c>
      <c r="J934" s="37">
        <v>1385.7</v>
      </c>
      <c r="K934" s="35">
        <v>73</v>
      </c>
      <c r="L934" s="37">
        <v>18.98</v>
      </c>
      <c r="M934" s="37">
        <v>10712.26</v>
      </c>
      <c r="N934" s="38">
        <v>7.73</v>
      </c>
    </row>
    <row r="935" spans="1:14" x14ac:dyDescent="0.3">
      <c r="A935" s="33">
        <v>45379</v>
      </c>
      <c r="B935" s="34" t="s">
        <v>74</v>
      </c>
      <c r="C935" s="34" t="s">
        <v>70</v>
      </c>
      <c r="D935" s="34" t="s">
        <v>76</v>
      </c>
      <c r="E935" s="34" t="s">
        <v>78</v>
      </c>
      <c r="F935" s="35">
        <v>124870</v>
      </c>
      <c r="G935" s="35">
        <v>2622</v>
      </c>
      <c r="H935" s="36">
        <v>2.1000000000000001E-2</v>
      </c>
      <c r="I935" s="37">
        <v>1.68</v>
      </c>
      <c r="J935" s="37">
        <v>4404.96</v>
      </c>
      <c r="K935" s="35">
        <v>140</v>
      </c>
      <c r="L935" s="37">
        <v>31.46</v>
      </c>
      <c r="M935" s="37">
        <v>13095.31</v>
      </c>
      <c r="N935" s="38">
        <v>2.97</v>
      </c>
    </row>
    <row r="936" spans="1:14" x14ac:dyDescent="0.3">
      <c r="A936" s="33">
        <v>45534</v>
      </c>
      <c r="B936" s="34" t="s">
        <v>74</v>
      </c>
      <c r="C936" s="34" t="s">
        <v>75</v>
      </c>
      <c r="D936" s="34" t="s">
        <v>68</v>
      </c>
      <c r="E936" s="34" t="s">
        <v>78</v>
      </c>
      <c r="F936" s="35">
        <v>137053</v>
      </c>
      <c r="G936" s="35">
        <v>5550</v>
      </c>
      <c r="H936" s="36">
        <v>4.0500000000000001E-2</v>
      </c>
      <c r="I936" s="37">
        <v>1.52</v>
      </c>
      <c r="J936" s="37">
        <v>8436</v>
      </c>
      <c r="K936" s="35">
        <v>381</v>
      </c>
      <c r="L936" s="37">
        <v>22.14</v>
      </c>
      <c r="M936" s="37">
        <v>43644.89</v>
      </c>
      <c r="N936" s="38">
        <v>5.17</v>
      </c>
    </row>
    <row r="937" spans="1:14" x14ac:dyDescent="0.3">
      <c r="A937" s="33">
        <v>45403</v>
      </c>
      <c r="B937" s="34" t="s">
        <v>74</v>
      </c>
      <c r="C937" s="34" t="s">
        <v>61</v>
      </c>
      <c r="D937" s="34" t="s">
        <v>76</v>
      </c>
      <c r="E937" s="34" t="s">
        <v>63</v>
      </c>
      <c r="F937" s="35">
        <v>43062</v>
      </c>
      <c r="G937" s="35">
        <v>1322</v>
      </c>
      <c r="H937" s="36">
        <v>3.0700000000000002E-2</v>
      </c>
      <c r="I937" s="37">
        <v>0.7</v>
      </c>
      <c r="J937" s="37">
        <v>925.4</v>
      </c>
      <c r="K937" s="35">
        <v>23</v>
      </c>
      <c r="L937" s="37">
        <v>40.229999999999997</v>
      </c>
      <c r="M937" s="37">
        <v>2104.08</v>
      </c>
      <c r="N937" s="38">
        <v>2.27</v>
      </c>
    </row>
    <row r="938" spans="1:14" x14ac:dyDescent="0.3">
      <c r="A938" s="33">
        <v>45538</v>
      </c>
      <c r="B938" s="34" t="s">
        <v>60</v>
      </c>
      <c r="C938" s="34" t="s">
        <v>67</v>
      </c>
      <c r="D938" s="34" t="s">
        <v>71</v>
      </c>
      <c r="E938" s="34" t="s">
        <v>69</v>
      </c>
      <c r="F938" s="35">
        <v>177472</v>
      </c>
      <c r="G938" s="35">
        <v>9210</v>
      </c>
      <c r="H938" s="36">
        <v>5.1900000000000002E-2</v>
      </c>
      <c r="I938" s="37">
        <v>2.0299999999999998</v>
      </c>
      <c r="J938" s="37">
        <v>18696.3</v>
      </c>
      <c r="K938" s="35">
        <v>410</v>
      </c>
      <c r="L938" s="37">
        <v>45.6</v>
      </c>
      <c r="M938" s="37">
        <v>45066.38</v>
      </c>
      <c r="N938" s="38">
        <v>2.41</v>
      </c>
    </row>
    <row r="939" spans="1:14" x14ac:dyDescent="0.3">
      <c r="A939" s="33">
        <v>45438</v>
      </c>
      <c r="B939" s="34" t="s">
        <v>60</v>
      </c>
      <c r="C939" s="34" t="s">
        <v>75</v>
      </c>
      <c r="D939" s="34" t="s">
        <v>68</v>
      </c>
      <c r="E939" s="34" t="s">
        <v>78</v>
      </c>
      <c r="F939" s="35">
        <v>25967</v>
      </c>
      <c r="G939" s="35">
        <v>656</v>
      </c>
      <c r="H939" s="36">
        <v>2.53E-2</v>
      </c>
      <c r="I939" s="37">
        <v>2.69</v>
      </c>
      <c r="J939" s="37">
        <v>1764.64</v>
      </c>
      <c r="K939" s="35">
        <v>24</v>
      </c>
      <c r="L939" s="37">
        <v>73.53</v>
      </c>
      <c r="M939" s="37">
        <v>1078.6199999999999</v>
      </c>
      <c r="N939" s="38">
        <v>0.61</v>
      </c>
    </row>
    <row r="940" spans="1:14" x14ac:dyDescent="0.3">
      <c r="A940" s="33">
        <v>45560</v>
      </c>
      <c r="B940" s="34" t="s">
        <v>64</v>
      </c>
      <c r="C940" s="34" t="s">
        <v>70</v>
      </c>
      <c r="D940" s="34" t="s">
        <v>71</v>
      </c>
      <c r="E940" s="34" t="s">
        <v>73</v>
      </c>
      <c r="F940" s="35">
        <v>139162</v>
      </c>
      <c r="G940" s="35">
        <v>7152</v>
      </c>
      <c r="H940" s="36">
        <v>5.1400000000000001E-2</v>
      </c>
      <c r="I940" s="37">
        <v>1.39</v>
      </c>
      <c r="J940" s="37">
        <v>9941.2800000000007</v>
      </c>
      <c r="K940" s="35">
        <v>137</v>
      </c>
      <c r="L940" s="37">
        <v>72.56</v>
      </c>
      <c r="M940" s="37">
        <v>29124.09</v>
      </c>
      <c r="N940" s="38">
        <v>2.93</v>
      </c>
    </row>
    <row r="941" spans="1:14" x14ac:dyDescent="0.3">
      <c r="A941" s="33">
        <v>45648</v>
      </c>
      <c r="B941" s="34" t="s">
        <v>60</v>
      </c>
      <c r="C941" s="34" t="s">
        <v>75</v>
      </c>
      <c r="D941" s="34" t="s">
        <v>62</v>
      </c>
      <c r="E941" s="34" t="s">
        <v>66</v>
      </c>
      <c r="F941" s="35">
        <v>45364</v>
      </c>
      <c r="G941" s="35">
        <v>1628</v>
      </c>
      <c r="H941" s="36">
        <v>3.5900000000000001E-2</v>
      </c>
      <c r="I941" s="37">
        <v>1.23</v>
      </c>
      <c r="J941" s="37">
        <v>2002.44</v>
      </c>
      <c r="K941" s="35">
        <v>113</v>
      </c>
      <c r="L941" s="37">
        <v>17.72</v>
      </c>
      <c r="M941" s="37">
        <v>10930.4</v>
      </c>
      <c r="N941" s="38">
        <v>5.46</v>
      </c>
    </row>
    <row r="942" spans="1:14" x14ac:dyDescent="0.3">
      <c r="A942" s="33">
        <v>45306</v>
      </c>
      <c r="B942" s="34" t="s">
        <v>60</v>
      </c>
      <c r="C942" s="34" t="s">
        <v>75</v>
      </c>
      <c r="D942" s="34" t="s">
        <v>76</v>
      </c>
      <c r="E942" s="34" t="s">
        <v>66</v>
      </c>
      <c r="F942" s="35">
        <v>62320</v>
      </c>
      <c r="G942" s="35">
        <v>3857</v>
      </c>
      <c r="H942" s="36">
        <v>6.1899999999999997E-2</v>
      </c>
      <c r="I942" s="37">
        <v>1.01</v>
      </c>
      <c r="J942" s="37">
        <v>3895.57</v>
      </c>
      <c r="K942" s="35">
        <v>158</v>
      </c>
      <c r="L942" s="37">
        <v>24.66</v>
      </c>
      <c r="M942" s="37">
        <v>17905.2</v>
      </c>
      <c r="N942" s="38">
        <v>4.5999999999999996</v>
      </c>
    </row>
    <row r="943" spans="1:14" x14ac:dyDescent="0.3">
      <c r="A943" s="33">
        <v>45611</v>
      </c>
      <c r="B943" s="34" t="s">
        <v>74</v>
      </c>
      <c r="C943" s="34" t="s">
        <v>70</v>
      </c>
      <c r="D943" s="34" t="s">
        <v>71</v>
      </c>
      <c r="E943" s="34" t="s">
        <v>73</v>
      </c>
      <c r="F943" s="35">
        <v>141436</v>
      </c>
      <c r="G943" s="35">
        <v>3026</v>
      </c>
      <c r="H943" s="36">
        <v>2.1399999999999999E-2</v>
      </c>
      <c r="I943" s="37">
        <v>1.84</v>
      </c>
      <c r="J943" s="37">
        <v>5567.84</v>
      </c>
      <c r="K943" s="35">
        <v>108</v>
      </c>
      <c r="L943" s="37">
        <v>51.55</v>
      </c>
      <c r="M943" s="37">
        <v>24540.41</v>
      </c>
      <c r="N943" s="38">
        <v>4.41</v>
      </c>
    </row>
    <row r="944" spans="1:14" x14ac:dyDescent="0.3">
      <c r="A944" s="33">
        <v>45583</v>
      </c>
      <c r="B944" s="34" t="s">
        <v>74</v>
      </c>
      <c r="C944" s="34" t="s">
        <v>67</v>
      </c>
      <c r="D944" s="34" t="s">
        <v>65</v>
      </c>
      <c r="E944" s="34" t="s">
        <v>72</v>
      </c>
      <c r="F944" s="35">
        <v>152318</v>
      </c>
      <c r="G944" s="35">
        <v>4554</v>
      </c>
      <c r="H944" s="36">
        <v>2.9899999999999999E-2</v>
      </c>
      <c r="I944" s="37">
        <v>1.08</v>
      </c>
      <c r="J944" s="37">
        <v>4918.32</v>
      </c>
      <c r="K944" s="35">
        <v>296</v>
      </c>
      <c r="L944" s="37">
        <v>16.62</v>
      </c>
      <c r="M944" s="37">
        <v>64805.54</v>
      </c>
      <c r="N944" s="38">
        <v>13.18</v>
      </c>
    </row>
    <row r="945" spans="1:14" x14ac:dyDescent="0.3">
      <c r="A945" s="33">
        <v>45536</v>
      </c>
      <c r="B945" s="34" t="s">
        <v>60</v>
      </c>
      <c r="C945" s="34" t="s">
        <v>61</v>
      </c>
      <c r="D945" s="34" t="s">
        <v>71</v>
      </c>
      <c r="E945" s="34" t="s">
        <v>69</v>
      </c>
      <c r="F945" s="35">
        <v>27778</v>
      </c>
      <c r="G945" s="35">
        <v>1902</v>
      </c>
      <c r="H945" s="36">
        <v>6.8500000000000005E-2</v>
      </c>
      <c r="I945" s="37">
        <v>1.55</v>
      </c>
      <c r="J945" s="37">
        <v>2948.1</v>
      </c>
      <c r="K945" s="35">
        <v>125</v>
      </c>
      <c r="L945" s="37">
        <v>23.58</v>
      </c>
      <c r="M945" s="37">
        <v>15444.21</v>
      </c>
      <c r="N945" s="38">
        <v>5.24</v>
      </c>
    </row>
    <row r="946" spans="1:14" x14ac:dyDescent="0.3">
      <c r="A946" s="33">
        <v>45523</v>
      </c>
      <c r="B946" s="34" t="s">
        <v>64</v>
      </c>
      <c r="C946" s="34" t="s">
        <v>67</v>
      </c>
      <c r="D946" s="34" t="s">
        <v>76</v>
      </c>
      <c r="E946" s="34" t="s">
        <v>66</v>
      </c>
      <c r="F946" s="35">
        <v>82400</v>
      </c>
      <c r="G946" s="35">
        <v>3708</v>
      </c>
      <c r="H946" s="36">
        <v>4.4999999999999998E-2</v>
      </c>
      <c r="I946" s="37">
        <v>0.8</v>
      </c>
      <c r="J946" s="37">
        <v>2966.4</v>
      </c>
      <c r="K946" s="35">
        <v>139</v>
      </c>
      <c r="L946" s="37">
        <v>21.34</v>
      </c>
      <c r="M946" s="37">
        <v>31548.51</v>
      </c>
      <c r="N946" s="38">
        <v>10.64</v>
      </c>
    </row>
    <row r="947" spans="1:14" x14ac:dyDescent="0.3">
      <c r="A947" s="33">
        <v>45625</v>
      </c>
      <c r="B947" s="34" t="s">
        <v>60</v>
      </c>
      <c r="C947" s="34" t="s">
        <v>61</v>
      </c>
      <c r="D947" s="34" t="s">
        <v>68</v>
      </c>
      <c r="E947" s="34" t="s">
        <v>66</v>
      </c>
      <c r="F947" s="35">
        <v>195606</v>
      </c>
      <c r="G947" s="35">
        <v>10817</v>
      </c>
      <c r="H947" s="36">
        <v>5.5300000000000002E-2</v>
      </c>
      <c r="I947" s="37">
        <v>3.53</v>
      </c>
      <c r="J947" s="37">
        <v>38184.01</v>
      </c>
      <c r="K947" s="35">
        <v>122</v>
      </c>
      <c r="L947" s="37">
        <v>312.98</v>
      </c>
      <c r="M947" s="37">
        <v>7355.91</v>
      </c>
      <c r="N947" s="38">
        <v>0.19</v>
      </c>
    </row>
    <row r="948" spans="1:14" x14ac:dyDescent="0.3">
      <c r="A948" s="33">
        <v>45616</v>
      </c>
      <c r="B948" s="34" t="s">
        <v>64</v>
      </c>
      <c r="C948" s="34" t="s">
        <v>70</v>
      </c>
      <c r="D948" s="34" t="s">
        <v>62</v>
      </c>
      <c r="E948" s="34" t="s">
        <v>73</v>
      </c>
      <c r="F948" s="35">
        <v>18181</v>
      </c>
      <c r="G948" s="35">
        <v>1179</v>
      </c>
      <c r="H948" s="36">
        <v>6.4899999999999999E-2</v>
      </c>
      <c r="I948" s="37">
        <v>0.64</v>
      </c>
      <c r="J948" s="37">
        <v>754.56</v>
      </c>
      <c r="K948" s="35">
        <v>24</v>
      </c>
      <c r="L948" s="37">
        <v>31.44</v>
      </c>
      <c r="M948" s="37">
        <v>4581.7</v>
      </c>
      <c r="N948" s="38">
        <v>6.07</v>
      </c>
    </row>
    <row r="949" spans="1:14" x14ac:dyDescent="0.3">
      <c r="A949" s="33">
        <v>45408</v>
      </c>
      <c r="B949" s="34" t="s">
        <v>60</v>
      </c>
      <c r="C949" s="34" t="s">
        <v>67</v>
      </c>
      <c r="D949" s="34" t="s">
        <v>71</v>
      </c>
      <c r="E949" s="34" t="s">
        <v>69</v>
      </c>
      <c r="F949" s="35">
        <v>86560</v>
      </c>
      <c r="G949" s="35">
        <v>5323</v>
      </c>
      <c r="H949" s="36">
        <v>6.1499999999999999E-2</v>
      </c>
      <c r="I949" s="37">
        <v>0.91</v>
      </c>
      <c r="J949" s="37">
        <v>4843.93</v>
      </c>
      <c r="K949" s="35">
        <v>94</v>
      </c>
      <c r="L949" s="37">
        <v>51.53</v>
      </c>
      <c r="M949" s="37">
        <v>8283.6200000000008</v>
      </c>
      <c r="N949" s="38">
        <v>1.71</v>
      </c>
    </row>
    <row r="950" spans="1:14" x14ac:dyDescent="0.3">
      <c r="A950" s="33">
        <v>45362</v>
      </c>
      <c r="B950" s="34" t="s">
        <v>60</v>
      </c>
      <c r="C950" s="34" t="s">
        <v>67</v>
      </c>
      <c r="D950" s="34" t="s">
        <v>62</v>
      </c>
      <c r="E950" s="34" t="s">
        <v>69</v>
      </c>
      <c r="F950" s="35">
        <v>89845</v>
      </c>
      <c r="G950" s="35">
        <v>2605</v>
      </c>
      <c r="H950" s="36">
        <v>2.9000000000000001E-2</v>
      </c>
      <c r="I950" s="37">
        <v>1.74</v>
      </c>
      <c r="J950" s="37">
        <v>4532.7</v>
      </c>
      <c r="K950" s="35">
        <v>155</v>
      </c>
      <c r="L950" s="37">
        <v>29.24</v>
      </c>
      <c r="M950" s="37">
        <v>14107.55</v>
      </c>
      <c r="N950" s="38">
        <v>3.11</v>
      </c>
    </row>
    <row r="951" spans="1:14" x14ac:dyDescent="0.3">
      <c r="A951" s="33">
        <v>45451</v>
      </c>
      <c r="B951" s="34" t="s">
        <v>74</v>
      </c>
      <c r="C951" s="34" t="s">
        <v>70</v>
      </c>
      <c r="D951" s="34" t="s">
        <v>62</v>
      </c>
      <c r="E951" s="34" t="s">
        <v>72</v>
      </c>
      <c r="F951" s="35">
        <v>194121</v>
      </c>
      <c r="G951" s="35">
        <v>6270</v>
      </c>
      <c r="H951" s="36">
        <v>3.2300000000000002E-2</v>
      </c>
      <c r="I951" s="37">
        <v>0.69</v>
      </c>
      <c r="J951" s="37">
        <v>4326.3</v>
      </c>
      <c r="K951" s="35">
        <v>133</v>
      </c>
      <c r="L951" s="37">
        <v>32.53</v>
      </c>
      <c r="M951" s="37">
        <v>11409.44</v>
      </c>
      <c r="N951" s="38">
        <v>2.64</v>
      </c>
    </row>
    <row r="952" spans="1:14" x14ac:dyDescent="0.3">
      <c r="A952" s="33">
        <v>45588</v>
      </c>
      <c r="B952" s="34" t="s">
        <v>74</v>
      </c>
      <c r="C952" s="34" t="s">
        <v>67</v>
      </c>
      <c r="D952" s="34" t="s">
        <v>71</v>
      </c>
      <c r="E952" s="34" t="s">
        <v>73</v>
      </c>
      <c r="F952" s="35">
        <v>81313</v>
      </c>
      <c r="G952" s="35">
        <v>1089</v>
      </c>
      <c r="H952" s="36">
        <v>1.34E-2</v>
      </c>
      <c r="I952" s="37">
        <v>1.43</v>
      </c>
      <c r="J952" s="37">
        <v>1557.27</v>
      </c>
      <c r="K952" s="35">
        <v>77</v>
      </c>
      <c r="L952" s="37">
        <v>20.22</v>
      </c>
      <c r="M952" s="37">
        <v>3549.91</v>
      </c>
      <c r="N952" s="38">
        <v>2.2799999999999998</v>
      </c>
    </row>
    <row r="953" spans="1:14" x14ac:dyDescent="0.3">
      <c r="A953" s="33">
        <v>45519</v>
      </c>
      <c r="B953" s="34" t="s">
        <v>60</v>
      </c>
      <c r="C953" s="34" t="s">
        <v>75</v>
      </c>
      <c r="D953" s="34" t="s">
        <v>68</v>
      </c>
      <c r="E953" s="34" t="s">
        <v>69</v>
      </c>
      <c r="F953" s="35">
        <v>95153</v>
      </c>
      <c r="G953" s="35">
        <v>5404</v>
      </c>
      <c r="H953" s="36">
        <v>5.6800000000000003E-2</v>
      </c>
      <c r="I953" s="37">
        <v>1.7</v>
      </c>
      <c r="J953" s="37">
        <v>9186.7999999999993</v>
      </c>
      <c r="K953" s="35">
        <v>74</v>
      </c>
      <c r="L953" s="37">
        <v>124.15</v>
      </c>
      <c r="M953" s="37">
        <v>20688.95</v>
      </c>
      <c r="N953" s="38">
        <v>2.25</v>
      </c>
    </row>
    <row r="954" spans="1:14" x14ac:dyDescent="0.3">
      <c r="A954" s="33">
        <v>45339</v>
      </c>
      <c r="B954" s="34" t="s">
        <v>74</v>
      </c>
      <c r="C954" s="34" t="s">
        <v>75</v>
      </c>
      <c r="D954" s="34" t="s">
        <v>62</v>
      </c>
      <c r="E954" s="34" t="s">
        <v>72</v>
      </c>
      <c r="F954" s="35">
        <v>104926</v>
      </c>
      <c r="G954" s="35">
        <v>3273</v>
      </c>
      <c r="H954" s="36">
        <v>3.1199999999999999E-2</v>
      </c>
      <c r="I954" s="37">
        <v>1.48</v>
      </c>
      <c r="J954" s="37">
        <v>4844.04</v>
      </c>
      <c r="K954" s="35">
        <v>65</v>
      </c>
      <c r="L954" s="37">
        <v>74.52</v>
      </c>
      <c r="M954" s="37">
        <v>12449.27</v>
      </c>
      <c r="N954" s="38">
        <v>2.57</v>
      </c>
    </row>
    <row r="955" spans="1:14" x14ac:dyDescent="0.3">
      <c r="A955" s="33">
        <v>45632</v>
      </c>
      <c r="B955" s="34" t="s">
        <v>74</v>
      </c>
      <c r="C955" s="34" t="s">
        <v>70</v>
      </c>
      <c r="D955" s="34" t="s">
        <v>71</v>
      </c>
      <c r="E955" s="34" t="s">
        <v>72</v>
      </c>
      <c r="F955" s="35">
        <v>16093</v>
      </c>
      <c r="G955" s="35">
        <v>466</v>
      </c>
      <c r="H955" s="36">
        <v>2.9000000000000001E-2</v>
      </c>
      <c r="I955" s="37">
        <v>0.83</v>
      </c>
      <c r="J955" s="37">
        <v>386.78</v>
      </c>
      <c r="K955" s="35">
        <v>28</v>
      </c>
      <c r="L955" s="37">
        <v>13.81</v>
      </c>
      <c r="M955" s="37">
        <v>5468.73</v>
      </c>
      <c r="N955" s="38">
        <v>14.14</v>
      </c>
    </row>
    <row r="956" spans="1:14" x14ac:dyDescent="0.3">
      <c r="A956" s="33">
        <v>45623</v>
      </c>
      <c r="B956" s="34" t="s">
        <v>60</v>
      </c>
      <c r="C956" s="34" t="s">
        <v>70</v>
      </c>
      <c r="D956" s="34" t="s">
        <v>65</v>
      </c>
      <c r="E956" s="34" t="s">
        <v>73</v>
      </c>
      <c r="F956" s="35">
        <v>155338</v>
      </c>
      <c r="G956" s="35">
        <v>10718</v>
      </c>
      <c r="H956" s="36">
        <v>6.9000000000000006E-2</v>
      </c>
      <c r="I956" s="37">
        <v>1.86</v>
      </c>
      <c r="J956" s="37">
        <v>19935.48</v>
      </c>
      <c r="K956" s="35">
        <v>411</v>
      </c>
      <c r="L956" s="37">
        <v>48.5</v>
      </c>
      <c r="M956" s="37">
        <v>112821.78</v>
      </c>
      <c r="N956" s="38">
        <v>5.66</v>
      </c>
    </row>
    <row r="957" spans="1:14" x14ac:dyDescent="0.3">
      <c r="A957" s="33">
        <v>45609</v>
      </c>
      <c r="B957" s="34" t="s">
        <v>60</v>
      </c>
      <c r="C957" s="34" t="s">
        <v>67</v>
      </c>
      <c r="D957" s="34" t="s">
        <v>65</v>
      </c>
      <c r="E957" s="34" t="s">
        <v>73</v>
      </c>
      <c r="F957" s="35">
        <v>179877</v>
      </c>
      <c r="G957" s="35">
        <v>4317</v>
      </c>
      <c r="H957" s="36">
        <v>2.4E-2</v>
      </c>
      <c r="I957" s="37">
        <v>2.54</v>
      </c>
      <c r="J957" s="37">
        <v>10965.18</v>
      </c>
      <c r="K957" s="35">
        <v>215</v>
      </c>
      <c r="L957" s="37">
        <v>51</v>
      </c>
      <c r="M957" s="37">
        <v>13004.03</v>
      </c>
      <c r="N957" s="38">
        <v>1.19</v>
      </c>
    </row>
    <row r="958" spans="1:14" x14ac:dyDescent="0.3">
      <c r="A958" s="33">
        <v>45528</v>
      </c>
      <c r="B958" s="34" t="s">
        <v>64</v>
      </c>
      <c r="C958" s="34" t="s">
        <v>67</v>
      </c>
      <c r="D958" s="34" t="s">
        <v>76</v>
      </c>
      <c r="E958" s="34" t="s">
        <v>78</v>
      </c>
      <c r="F958" s="35">
        <v>185510</v>
      </c>
      <c r="G958" s="35">
        <v>9739</v>
      </c>
      <c r="H958" s="36">
        <v>5.2499999999999998E-2</v>
      </c>
      <c r="I958" s="37">
        <v>2.0499999999999998</v>
      </c>
      <c r="J958" s="37">
        <v>19964.95</v>
      </c>
      <c r="K958" s="35">
        <v>461</v>
      </c>
      <c r="L958" s="37">
        <v>43.31</v>
      </c>
      <c r="M958" s="37">
        <v>116711.4</v>
      </c>
      <c r="N958" s="38">
        <v>5.85</v>
      </c>
    </row>
    <row r="959" spans="1:14" x14ac:dyDescent="0.3">
      <c r="A959" s="33">
        <v>45524</v>
      </c>
      <c r="B959" s="34" t="s">
        <v>64</v>
      </c>
      <c r="C959" s="34" t="s">
        <v>61</v>
      </c>
      <c r="D959" s="34" t="s">
        <v>65</v>
      </c>
      <c r="E959" s="34" t="s">
        <v>72</v>
      </c>
      <c r="F959" s="35">
        <v>135992</v>
      </c>
      <c r="G959" s="35">
        <v>8023</v>
      </c>
      <c r="H959" s="36">
        <v>5.8999999999999997E-2</v>
      </c>
      <c r="I959" s="37">
        <v>0.4</v>
      </c>
      <c r="J959" s="37">
        <v>3209.2</v>
      </c>
      <c r="K959" s="35">
        <v>640</v>
      </c>
      <c r="L959" s="37">
        <v>5.01</v>
      </c>
      <c r="M959" s="37">
        <v>50560.98</v>
      </c>
      <c r="N959" s="38">
        <v>15.76</v>
      </c>
    </row>
    <row r="960" spans="1:14" x14ac:dyDescent="0.3">
      <c r="A960" s="33">
        <v>45307</v>
      </c>
      <c r="B960" s="34" t="s">
        <v>60</v>
      </c>
      <c r="C960" s="34" t="s">
        <v>61</v>
      </c>
      <c r="D960" s="34" t="s">
        <v>65</v>
      </c>
      <c r="E960" s="34" t="s">
        <v>72</v>
      </c>
      <c r="F960" s="35">
        <v>192593</v>
      </c>
      <c r="G960" s="35">
        <v>4949</v>
      </c>
      <c r="H960" s="36">
        <v>2.5700000000000001E-2</v>
      </c>
      <c r="I960" s="37">
        <v>1.83</v>
      </c>
      <c r="J960" s="37">
        <v>9056.67</v>
      </c>
      <c r="K960" s="35">
        <v>172</v>
      </c>
      <c r="L960" s="37">
        <v>52.66</v>
      </c>
      <c r="M960" s="37">
        <v>20836.16</v>
      </c>
      <c r="N960" s="38">
        <v>2.2999999999999998</v>
      </c>
    </row>
    <row r="961" spans="1:14" x14ac:dyDescent="0.3">
      <c r="A961" s="33">
        <v>45656</v>
      </c>
      <c r="B961" s="34" t="s">
        <v>74</v>
      </c>
      <c r="C961" s="34" t="s">
        <v>61</v>
      </c>
      <c r="D961" s="34" t="s">
        <v>65</v>
      </c>
      <c r="E961" s="34" t="s">
        <v>63</v>
      </c>
      <c r="F961" s="35">
        <v>18487</v>
      </c>
      <c r="G961" s="35">
        <v>693</v>
      </c>
      <c r="H961" s="36">
        <v>3.7499999999999999E-2</v>
      </c>
      <c r="I961" s="37">
        <v>0.49</v>
      </c>
      <c r="J961" s="37">
        <v>339.57</v>
      </c>
      <c r="K961" s="35">
        <v>36</v>
      </c>
      <c r="L961" s="37">
        <v>9.43</v>
      </c>
      <c r="M961" s="37">
        <v>7765.15</v>
      </c>
      <c r="N961" s="38">
        <v>22.87</v>
      </c>
    </row>
    <row r="962" spans="1:14" x14ac:dyDescent="0.3">
      <c r="A962" s="33">
        <v>45620</v>
      </c>
      <c r="B962" s="34" t="s">
        <v>74</v>
      </c>
      <c r="C962" s="34" t="s">
        <v>67</v>
      </c>
      <c r="D962" s="34" t="s">
        <v>65</v>
      </c>
      <c r="E962" s="34" t="s">
        <v>66</v>
      </c>
      <c r="F962" s="35">
        <v>88452</v>
      </c>
      <c r="G962" s="35">
        <v>3361</v>
      </c>
      <c r="H962" s="36">
        <v>3.7999999999999999E-2</v>
      </c>
      <c r="I962" s="37">
        <v>1.63</v>
      </c>
      <c r="J962" s="37">
        <v>5478.43</v>
      </c>
      <c r="K962" s="35">
        <v>180</v>
      </c>
      <c r="L962" s="37">
        <v>30.44</v>
      </c>
      <c r="M962" s="37">
        <v>8119.45</v>
      </c>
      <c r="N962" s="38">
        <v>1.48</v>
      </c>
    </row>
    <row r="963" spans="1:14" x14ac:dyDescent="0.3">
      <c r="A963" s="33">
        <v>45581</v>
      </c>
      <c r="B963" s="34" t="s">
        <v>64</v>
      </c>
      <c r="C963" s="34" t="s">
        <v>75</v>
      </c>
      <c r="D963" s="34" t="s">
        <v>62</v>
      </c>
      <c r="E963" s="34" t="s">
        <v>69</v>
      </c>
      <c r="F963" s="35">
        <v>178714</v>
      </c>
      <c r="G963" s="35">
        <v>7559</v>
      </c>
      <c r="H963" s="36">
        <v>4.2299999999999997E-2</v>
      </c>
      <c r="I963" s="37">
        <v>1.1399999999999999</v>
      </c>
      <c r="J963" s="37">
        <v>8617.26</v>
      </c>
      <c r="K963" s="35">
        <v>312</v>
      </c>
      <c r="L963" s="37">
        <v>27.62</v>
      </c>
      <c r="M963" s="37">
        <v>39985.980000000003</v>
      </c>
      <c r="N963" s="38">
        <v>4.6399999999999997</v>
      </c>
    </row>
    <row r="964" spans="1:14" x14ac:dyDescent="0.3">
      <c r="A964" s="33">
        <v>45478</v>
      </c>
      <c r="B964" s="34" t="s">
        <v>64</v>
      </c>
      <c r="C964" s="34" t="s">
        <v>75</v>
      </c>
      <c r="D964" s="34" t="s">
        <v>71</v>
      </c>
      <c r="E964" s="34" t="s">
        <v>66</v>
      </c>
      <c r="F964" s="35">
        <v>113190</v>
      </c>
      <c r="G964" s="35">
        <v>3984</v>
      </c>
      <c r="H964" s="36">
        <v>3.5200000000000002E-2</v>
      </c>
      <c r="I964" s="37">
        <v>1.41</v>
      </c>
      <c r="J964" s="37">
        <v>5617.44</v>
      </c>
      <c r="K964" s="35">
        <v>172</v>
      </c>
      <c r="L964" s="37">
        <v>32.659999999999997</v>
      </c>
      <c r="M964" s="37">
        <v>10269.39</v>
      </c>
      <c r="N964" s="38">
        <v>1.83</v>
      </c>
    </row>
    <row r="965" spans="1:14" x14ac:dyDescent="0.3">
      <c r="A965" s="33">
        <v>45395</v>
      </c>
      <c r="B965" s="34" t="s">
        <v>74</v>
      </c>
      <c r="C965" s="34" t="s">
        <v>67</v>
      </c>
      <c r="D965" s="34" t="s">
        <v>76</v>
      </c>
      <c r="E965" s="34" t="s">
        <v>78</v>
      </c>
      <c r="F965" s="35">
        <v>126103</v>
      </c>
      <c r="G965" s="35">
        <v>4300</v>
      </c>
      <c r="H965" s="36">
        <v>3.4099999999999998E-2</v>
      </c>
      <c r="I965" s="37">
        <v>1.0900000000000001</v>
      </c>
      <c r="J965" s="37">
        <v>4687</v>
      </c>
      <c r="K965" s="35">
        <v>313</v>
      </c>
      <c r="L965" s="37">
        <v>14.97</v>
      </c>
      <c r="M965" s="37">
        <v>18027.88</v>
      </c>
      <c r="N965" s="38">
        <v>3.85</v>
      </c>
    </row>
    <row r="966" spans="1:14" x14ac:dyDescent="0.3">
      <c r="A966" s="33">
        <v>45647</v>
      </c>
      <c r="B966" s="34" t="s">
        <v>60</v>
      </c>
      <c r="C966" s="34" t="s">
        <v>61</v>
      </c>
      <c r="D966" s="34" t="s">
        <v>68</v>
      </c>
      <c r="E966" s="34" t="s">
        <v>77</v>
      </c>
      <c r="F966" s="35">
        <v>101355</v>
      </c>
      <c r="G966" s="35">
        <v>4459</v>
      </c>
      <c r="H966" s="36">
        <v>4.3999999999999997E-2</v>
      </c>
      <c r="I966" s="37">
        <v>2.5499999999999998</v>
      </c>
      <c r="J966" s="37">
        <v>11370.45</v>
      </c>
      <c r="K966" s="35">
        <v>122</v>
      </c>
      <c r="L966" s="37">
        <v>93.2</v>
      </c>
      <c r="M966" s="37">
        <v>10455.25</v>
      </c>
      <c r="N966" s="38">
        <v>0.92</v>
      </c>
    </row>
    <row r="967" spans="1:14" x14ac:dyDescent="0.3">
      <c r="A967" s="33">
        <v>45338</v>
      </c>
      <c r="B967" s="34" t="s">
        <v>60</v>
      </c>
      <c r="C967" s="34" t="s">
        <v>75</v>
      </c>
      <c r="D967" s="34" t="s">
        <v>65</v>
      </c>
      <c r="E967" s="34" t="s">
        <v>73</v>
      </c>
      <c r="F967" s="35">
        <v>197974</v>
      </c>
      <c r="G967" s="35">
        <v>4375</v>
      </c>
      <c r="H967" s="36">
        <v>2.2100000000000002E-2</v>
      </c>
      <c r="I967" s="37">
        <v>2.4300000000000002</v>
      </c>
      <c r="J967" s="37">
        <v>10631.25</v>
      </c>
      <c r="K967" s="35">
        <v>347</v>
      </c>
      <c r="L967" s="37">
        <v>30.64</v>
      </c>
      <c r="M967" s="37">
        <v>73971.789999999994</v>
      </c>
      <c r="N967" s="38">
        <v>6.96</v>
      </c>
    </row>
    <row r="968" spans="1:14" x14ac:dyDescent="0.3">
      <c r="A968" s="33">
        <v>45389</v>
      </c>
      <c r="B968" s="34" t="s">
        <v>74</v>
      </c>
      <c r="C968" s="34" t="s">
        <v>70</v>
      </c>
      <c r="D968" s="34" t="s">
        <v>62</v>
      </c>
      <c r="E968" s="34" t="s">
        <v>66</v>
      </c>
      <c r="F968" s="35">
        <v>49261</v>
      </c>
      <c r="G968" s="35">
        <v>724</v>
      </c>
      <c r="H968" s="36">
        <v>1.47E-2</v>
      </c>
      <c r="I968" s="37">
        <v>0.62</v>
      </c>
      <c r="J968" s="37">
        <v>448.88</v>
      </c>
      <c r="K968" s="35">
        <v>31</v>
      </c>
      <c r="L968" s="37">
        <v>14.48</v>
      </c>
      <c r="M968" s="37">
        <v>1397.37</v>
      </c>
      <c r="N968" s="38">
        <v>3.11</v>
      </c>
    </row>
    <row r="969" spans="1:14" x14ac:dyDescent="0.3">
      <c r="A969" s="33">
        <v>45322</v>
      </c>
      <c r="B969" s="34" t="s">
        <v>64</v>
      </c>
      <c r="C969" s="34" t="s">
        <v>70</v>
      </c>
      <c r="D969" s="34" t="s">
        <v>71</v>
      </c>
      <c r="E969" s="34" t="s">
        <v>77</v>
      </c>
      <c r="F969" s="35">
        <v>174668</v>
      </c>
      <c r="G969" s="35">
        <v>10916</v>
      </c>
      <c r="H969" s="36">
        <v>6.25E-2</v>
      </c>
      <c r="I969" s="37">
        <v>0.63</v>
      </c>
      <c r="J969" s="37">
        <v>6877.08</v>
      </c>
      <c r="K969" s="35">
        <v>310</v>
      </c>
      <c r="L969" s="37">
        <v>22.18</v>
      </c>
      <c r="M969" s="37">
        <v>37599.64</v>
      </c>
      <c r="N969" s="38">
        <v>5.47</v>
      </c>
    </row>
    <row r="970" spans="1:14" x14ac:dyDescent="0.3">
      <c r="A970" s="33">
        <v>45581</v>
      </c>
      <c r="B970" s="34" t="s">
        <v>60</v>
      </c>
      <c r="C970" s="34" t="s">
        <v>70</v>
      </c>
      <c r="D970" s="34" t="s">
        <v>62</v>
      </c>
      <c r="E970" s="34" t="s">
        <v>69</v>
      </c>
      <c r="F970" s="35">
        <v>163178</v>
      </c>
      <c r="G970" s="35">
        <v>5172</v>
      </c>
      <c r="H970" s="36">
        <v>3.1699999999999999E-2</v>
      </c>
      <c r="I970" s="37">
        <v>2.21</v>
      </c>
      <c r="J970" s="37">
        <v>11430.12</v>
      </c>
      <c r="K970" s="35">
        <v>325</v>
      </c>
      <c r="L970" s="37">
        <v>35.17</v>
      </c>
      <c r="M970" s="37">
        <v>14305.21</v>
      </c>
      <c r="N970" s="38">
        <v>1.25</v>
      </c>
    </row>
    <row r="971" spans="1:14" x14ac:dyDescent="0.3">
      <c r="A971" s="33">
        <v>45613</v>
      </c>
      <c r="B971" s="34" t="s">
        <v>64</v>
      </c>
      <c r="C971" s="34" t="s">
        <v>61</v>
      </c>
      <c r="D971" s="34" t="s">
        <v>65</v>
      </c>
      <c r="E971" s="34" t="s">
        <v>69</v>
      </c>
      <c r="F971" s="35">
        <v>105726</v>
      </c>
      <c r="G971" s="35">
        <v>8542</v>
      </c>
      <c r="H971" s="36">
        <v>8.0799999999999997E-2</v>
      </c>
      <c r="I971" s="37">
        <v>1.4</v>
      </c>
      <c r="J971" s="37">
        <v>11958.8</v>
      </c>
      <c r="K971" s="35">
        <v>662</v>
      </c>
      <c r="L971" s="37">
        <v>18.059999999999999</v>
      </c>
      <c r="M971" s="37">
        <v>104498.78</v>
      </c>
      <c r="N971" s="38">
        <v>8.74</v>
      </c>
    </row>
    <row r="972" spans="1:14" x14ac:dyDescent="0.3">
      <c r="A972" s="33">
        <v>45334</v>
      </c>
      <c r="B972" s="34" t="s">
        <v>64</v>
      </c>
      <c r="C972" s="34" t="s">
        <v>75</v>
      </c>
      <c r="D972" s="34" t="s">
        <v>68</v>
      </c>
      <c r="E972" s="34" t="s">
        <v>63</v>
      </c>
      <c r="F972" s="35">
        <v>74285</v>
      </c>
      <c r="G972" s="35">
        <v>2094</v>
      </c>
      <c r="H972" s="36">
        <v>2.8199999999999999E-2</v>
      </c>
      <c r="I972" s="37">
        <v>0.63</v>
      </c>
      <c r="J972" s="37">
        <v>1319.22</v>
      </c>
      <c r="K972" s="35">
        <v>92</v>
      </c>
      <c r="L972" s="37">
        <v>14.34</v>
      </c>
      <c r="M972" s="37">
        <v>18972.8</v>
      </c>
      <c r="N972" s="38">
        <v>14.38</v>
      </c>
    </row>
    <row r="973" spans="1:14" x14ac:dyDescent="0.3">
      <c r="A973" s="33">
        <v>45320</v>
      </c>
      <c r="B973" s="34" t="s">
        <v>60</v>
      </c>
      <c r="C973" s="34" t="s">
        <v>75</v>
      </c>
      <c r="D973" s="34" t="s">
        <v>65</v>
      </c>
      <c r="E973" s="34" t="s">
        <v>69</v>
      </c>
      <c r="F973" s="35">
        <v>168471</v>
      </c>
      <c r="G973" s="35">
        <v>6014</v>
      </c>
      <c r="H973" s="36">
        <v>3.5700000000000003E-2</v>
      </c>
      <c r="I973" s="37">
        <v>0.97</v>
      </c>
      <c r="J973" s="37">
        <v>5833.58</v>
      </c>
      <c r="K973" s="35">
        <v>117</v>
      </c>
      <c r="L973" s="37">
        <v>49.86</v>
      </c>
      <c r="M973" s="37">
        <v>25231.33</v>
      </c>
      <c r="N973" s="38">
        <v>4.33</v>
      </c>
    </row>
    <row r="974" spans="1:14" x14ac:dyDescent="0.3">
      <c r="A974" s="33">
        <v>45574</v>
      </c>
      <c r="B974" s="34" t="s">
        <v>64</v>
      </c>
      <c r="C974" s="34" t="s">
        <v>61</v>
      </c>
      <c r="D974" s="34" t="s">
        <v>76</v>
      </c>
      <c r="E974" s="34" t="s">
        <v>66</v>
      </c>
      <c r="F974" s="35">
        <v>128295</v>
      </c>
      <c r="G974" s="35">
        <v>4695</v>
      </c>
      <c r="H974" s="36">
        <v>3.6600000000000001E-2</v>
      </c>
      <c r="I974" s="37">
        <v>0.84</v>
      </c>
      <c r="J974" s="37">
        <v>3943.8</v>
      </c>
      <c r="K974" s="35">
        <v>276</v>
      </c>
      <c r="L974" s="37">
        <v>14.29</v>
      </c>
      <c r="M974" s="37">
        <v>42279.01</v>
      </c>
      <c r="N974" s="38">
        <v>10.72</v>
      </c>
    </row>
    <row r="975" spans="1:14" x14ac:dyDescent="0.3">
      <c r="A975" s="33">
        <v>45622</v>
      </c>
      <c r="B975" s="34" t="s">
        <v>74</v>
      </c>
      <c r="C975" s="34" t="s">
        <v>61</v>
      </c>
      <c r="D975" s="34" t="s">
        <v>68</v>
      </c>
      <c r="E975" s="34" t="s">
        <v>78</v>
      </c>
      <c r="F975" s="35">
        <v>109777</v>
      </c>
      <c r="G975" s="35">
        <v>2722</v>
      </c>
      <c r="H975" s="36">
        <v>2.4799999999999999E-2</v>
      </c>
      <c r="I975" s="37">
        <v>1.44</v>
      </c>
      <c r="J975" s="37">
        <v>3919.68</v>
      </c>
      <c r="K975" s="35">
        <v>170</v>
      </c>
      <c r="L975" s="37">
        <v>23.06</v>
      </c>
      <c r="M975" s="37">
        <v>47040.47</v>
      </c>
      <c r="N975" s="38">
        <v>12</v>
      </c>
    </row>
    <row r="976" spans="1:14" x14ac:dyDescent="0.3">
      <c r="A976" s="33">
        <v>45552</v>
      </c>
      <c r="B976" s="34" t="s">
        <v>64</v>
      </c>
      <c r="C976" s="34" t="s">
        <v>67</v>
      </c>
      <c r="D976" s="34" t="s">
        <v>68</v>
      </c>
      <c r="E976" s="34" t="s">
        <v>63</v>
      </c>
      <c r="F976" s="35">
        <v>153537</v>
      </c>
      <c r="G976" s="35">
        <v>7277</v>
      </c>
      <c r="H976" s="36">
        <v>4.7399999999999998E-2</v>
      </c>
      <c r="I976" s="37">
        <v>1</v>
      </c>
      <c r="J976" s="37">
        <v>7277</v>
      </c>
      <c r="K976" s="35">
        <v>175</v>
      </c>
      <c r="L976" s="37">
        <v>41.58</v>
      </c>
      <c r="M976" s="37">
        <v>48117.42</v>
      </c>
      <c r="N976" s="38">
        <v>6.61</v>
      </c>
    </row>
    <row r="977" spans="1:14" x14ac:dyDescent="0.3">
      <c r="A977" s="33">
        <v>45534</v>
      </c>
      <c r="B977" s="34" t="s">
        <v>60</v>
      </c>
      <c r="C977" s="34" t="s">
        <v>70</v>
      </c>
      <c r="D977" s="34" t="s">
        <v>62</v>
      </c>
      <c r="E977" s="34" t="s">
        <v>72</v>
      </c>
      <c r="F977" s="35">
        <v>20915</v>
      </c>
      <c r="G977" s="35">
        <v>913</v>
      </c>
      <c r="H977" s="36">
        <v>4.3700000000000003E-2</v>
      </c>
      <c r="I977" s="37">
        <v>1.03</v>
      </c>
      <c r="J977" s="37">
        <v>940.39</v>
      </c>
      <c r="K977" s="35">
        <v>37</v>
      </c>
      <c r="L977" s="37">
        <v>25.42</v>
      </c>
      <c r="M977" s="37">
        <v>3637.08</v>
      </c>
      <c r="N977" s="38">
        <v>3.87</v>
      </c>
    </row>
    <row r="978" spans="1:14" x14ac:dyDescent="0.3">
      <c r="A978" s="33">
        <v>45499</v>
      </c>
      <c r="B978" s="34" t="s">
        <v>74</v>
      </c>
      <c r="C978" s="34" t="s">
        <v>61</v>
      </c>
      <c r="D978" s="34" t="s">
        <v>65</v>
      </c>
      <c r="E978" s="34" t="s">
        <v>66</v>
      </c>
      <c r="F978" s="35">
        <v>29992</v>
      </c>
      <c r="G978" s="35">
        <v>605</v>
      </c>
      <c r="H978" s="36">
        <v>2.0199999999999999E-2</v>
      </c>
      <c r="I978" s="37">
        <v>0.61</v>
      </c>
      <c r="J978" s="37">
        <v>369.05</v>
      </c>
      <c r="K978" s="35">
        <v>35</v>
      </c>
      <c r="L978" s="37">
        <v>10.54</v>
      </c>
      <c r="M978" s="37">
        <v>5311.42</v>
      </c>
      <c r="N978" s="38">
        <v>14.39</v>
      </c>
    </row>
    <row r="979" spans="1:14" x14ac:dyDescent="0.3">
      <c r="A979" s="33">
        <v>45356</v>
      </c>
      <c r="B979" s="34" t="s">
        <v>74</v>
      </c>
      <c r="C979" s="34" t="s">
        <v>61</v>
      </c>
      <c r="D979" s="34" t="s">
        <v>62</v>
      </c>
      <c r="E979" s="34" t="s">
        <v>66</v>
      </c>
      <c r="F979" s="35">
        <v>187461</v>
      </c>
      <c r="G979" s="35">
        <v>2511</v>
      </c>
      <c r="H979" s="36">
        <v>1.34E-2</v>
      </c>
      <c r="I979" s="37">
        <v>1.7</v>
      </c>
      <c r="J979" s="37">
        <v>4268.7</v>
      </c>
      <c r="K979" s="35">
        <v>189</v>
      </c>
      <c r="L979" s="37">
        <v>22.59</v>
      </c>
      <c r="M979" s="37">
        <v>16540.060000000001</v>
      </c>
      <c r="N979" s="38">
        <v>3.87</v>
      </c>
    </row>
    <row r="980" spans="1:14" x14ac:dyDescent="0.3">
      <c r="A980" s="33">
        <v>45429</v>
      </c>
      <c r="B980" s="34" t="s">
        <v>60</v>
      </c>
      <c r="C980" s="34" t="s">
        <v>75</v>
      </c>
      <c r="D980" s="34" t="s">
        <v>76</v>
      </c>
      <c r="E980" s="34" t="s">
        <v>78</v>
      </c>
      <c r="F980" s="35">
        <v>107885</v>
      </c>
      <c r="G980" s="35">
        <v>3344</v>
      </c>
      <c r="H980" s="36">
        <v>3.1E-2</v>
      </c>
      <c r="I980" s="37">
        <v>2.09</v>
      </c>
      <c r="J980" s="37">
        <v>6988.96</v>
      </c>
      <c r="K980" s="35">
        <v>262</v>
      </c>
      <c r="L980" s="37">
        <v>26.68</v>
      </c>
      <c r="M980" s="37">
        <v>51456.480000000003</v>
      </c>
      <c r="N980" s="38">
        <v>7.36</v>
      </c>
    </row>
    <row r="981" spans="1:14" x14ac:dyDescent="0.3">
      <c r="A981" s="33">
        <v>45435</v>
      </c>
      <c r="B981" s="34" t="s">
        <v>60</v>
      </c>
      <c r="C981" s="34" t="s">
        <v>67</v>
      </c>
      <c r="D981" s="34" t="s">
        <v>76</v>
      </c>
      <c r="E981" s="34" t="s">
        <v>72</v>
      </c>
      <c r="F981" s="35">
        <v>162242</v>
      </c>
      <c r="G981" s="35">
        <v>5110</v>
      </c>
      <c r="H981" s="36">
        <v>3.15E-2</v>
      </c>
      <c r="I981" s="37">
        <v>2.67</v>
      </c>
      <c r="J981" s="37">
        <v>13643.7</v>
      </c>
      <c r="K981" s="35">
        <v>118</v>
      </c>
      <c r="L981" s="37">
        <v>115.62</v>
      </c>
      <c r="M981" s="37">
        <v>30643.55</v>
      </c>
      <c r="N981" s="38">
        <v>2.25</v>
      </c>
    </row>
    <row r="982" spans="1:14" x14ac:dyDescent="0.3">
      <c r="A982" s="33">
        <v>45418</v>
      </c>
      <c r="B982" s="34" t="s">
        <v>74</v>
      </c>
      <c r="C982" s="34" t="s">
        <v>67</v>
      </c>
      <c r="D982" s="34" t="s">
        <v>65</v>
      </c>
      <c r="E982" s="34" t="s">
        <v>69</v>
      </c>
      <c r="F982" s="35">
        <v>34404</v>
      </c>
      <c r="G982" s="35">
        <v>1204</v>
      </c>
      <c r="H982" s="36">
        <v>3.5000000000000003E-2</v>
      </c>
      <c r="I982" s="37">
        <v>1.42</v>
      </c>
      <c r="J982" s="37">
        <v>1709.68</v>
      </c>
      <c r="K982" s="35">
        <v>94</v>
      </c>
      <c r="L982" s="37">
        <v>18.190000000000001</v>
      </c>
      <c r="M982" s="37">
        <v>17655.16</v>
      </c>
      <c r="N982" s="38">
        <v>10.33</v>
      </c>
    </row>
    <row r="983" spans="1:14" x14ac:dyDescent="0.3">
      <c r="A983" s="33">
        <v>45598</v>
      </c>
      <c r="B983" s="34" t="s">
        <v>74</v>
      </c>
      <c r="C983" s="34" t="s">
        <v>75</v>
      </c>
      <c r="D983" s="34" t="s">
        <v>65</v>
      </c>
      <c r="E983" s="34" t="s">
        <v>78</v>
      </c>
      <c r="F983" s="35">
        <v>133773</v>
      </c>
      <c r="G983" s="35">
        <v>3491</v>
      </c>
      <c r="H983" s="36">
        <v>2.6100000000000002E-2</v>
      </c>
      <c r="I983" s="37">
        <v>1.83</v>
      </c>
      <c r="J983" s="37">
        <v>6388.53</v>
      </c>
      <c r="K983" s="35">
        <v>181</v>
      </c>
      <c r="L983" s="37">
        <v>35.299999999999997</v>
      </c>
      <c r="M983" s="37">
        <v>21663.32</v>
      </c>
      <c r="N983" s="38">
        <v>3.39</v>
      </c>
    </row>
    <row r="984" spans="1:14" x14ac:dyDescent="0.3">
      <c r="A984" s="33">
        <v>45507</v>
      </c>
      <c r="B984" s="34" t="s">
        <v>60</v>
      </c>
      <c r="C984" s="34" t="s">
        <v>67</v>
      </c>
      <c r="D984" s="34" t="s">
        <v>71</v>
      </c>
      <c r="E984" s="34" t="s">
        <v>73</v>
      </c>
      <c r="F984" s="35">
        <v>185948</v>
      </c>
      <c r="G984" s="35">
        <v>5373</v>
      </c>
      <c r="H984" s="36">
        <v>2.8899999999999999E-2</v>
      </c>
      <c r="I984" s="37">
        <v>0.73</v>
      </c>
      <c r="J984" s="37">
        <v>3922.29</v>
      </c>
      <c r="K984" s="35">
        <v>82</v>
      </c>
      <c r="L984" s="37">
        <v>47.83</v>
      </c>
      <c r="M984" s="37">
        <v>15594.76</v>
      </c>
      <c r="N984" s="38">
        <v>3.98</v>
      </c>
    </row>
    <row r="985" spans="1:14" x14ac:dyDescent="0.3">
      <c r="A985" s="33">
        <v>45486</v>
      </c>
      <c r="B985" s="34" t="s">
        <v>60</v>
      </c>
      <c r="C985" s="34" t="s">
        <v>70</v>
      </c>
      <c r="D985" s="34" t="s">
        <v>68</v>
      </c>
      <c r="E985" s="34" t="s">
        <v>78</v>
      </c>
      <c r="F985" s="35">
        <v>98375</v>
      </c>
      <c r="G985" s="35">
        <v>1898</v>
      </c>
      <c r="H985" s="36">
        <v>1.9300000000000001E-2</v>
      </c>
      <c r="I985" s="37">
        <v>3.35</v>
      </c>
      <c r="J985" s="37">
        <v>6358.3</v>
      </c>
      <c r="K985" s="35">
        <v>45</v>
      </c>
      <c r="L985" s="37">
        <v>141.30000000000001</v>
      </c>
      <c r="M985" s="37">
        <v>2253.91</v>
      </c>
      <c r="N985" s="38">
        <v>0.35</v>
      </c>
    </row>
    <row r="986" spans="1:14" x14ac:dyDescent="0.3">
      <c r="A986" s="33">
        <v>45495</v>
      </c>
      <c r="B986" s="34" t="s">
        <v>60</v>
      </c>
      <c r="C986" s="34" t="s">
        <v>67</v>
      </c>
      <c r="D986" s="34" t="s">
        <v>68</v>
      </c>
      <c r="E986" s="34" t="s">
        <v>69</v>
      </c>
      <c r="F986" s="35">
        <v>190826</v>
      </c>
      <c r="G986" s="35">
        <v>12174</v>
      </c>
      <c r="H986" s="36">
        <v>6.3799999999999996E-2</v>
      </c>
      <c r="I986" s="37">
        <v>1.75</v>
      </c>
      <c r="J986" s="37">
        <v>21304.5</v>
      </c>
      <c r="K986" s="35">
        <v>933</v>
      </c>
      <c r="L986" s="37">
        <v>22.83</v>
      </c>
      <c r="M986" s="37">
        <v>139478.01</v>
      </c>
      <c r="N986" s="38">
        <v>6.55</v>
      </c>
    </row>
    <row r="987" spans="1:14" x14ac:dyDescent="0.3">
      <c r="A987" s="33">
        <v>45480</v>
      </c>
      <c r="B987" s="34" t="s">
        <v>74</v>
      </c>
      <c r="C987" s="34" t="s">
        <v>75</v>
      </c>
      <c r="D987" s="34" t="s">
        <v>68</v>
      </c>
      <c r="E987" s="34" t="s">
        <v>63</v>
      </c>
      <c r="F987" s="35">
        <v>105050</v>
      </c>
      <c r="G987" s="35">
        <v>3077</v>
      </c>
      <c r="H987" s="36">
        <v>2.93E-2</v>
      </c>
      <c r="I987" s="37">
        <v>0.5</v>
      </c>
      <c r="J987" s="37">
        <v>1538.5</v>
      </c>
      <c r="K987" s="35">
        <v>206</v>
      </c>
      <c r="L987" s="37">
        <v>7.47</v>
      </c>
      <c r="M987" s="37">
        <v>55580.46</v>
      </c>
      <c r="N987" s="38">
        <v>36.130000000000003</v>
      </c>
    </row>
    <row r="988" spans="1:14" x14ac:dyDescent="0.3">
      <c r="A988" s="33">
        <v>45492</v>
      </c>
      <c r="B988" s="34" t="s">
        <v>60</v>
      </c>
      <c r="C988" s="34" t="s">
        <v>70</v>
      </c>
      <c r="D988" s="34" t="s">
        <v>76</v>
      </c>
      <c r="E988" s="34" t="s">
        <v>77</v>
      </c>
      <c r="F988" s="35">
        <v>52547</v>
      </c>
      <c r="G988" s="35">
        <v>2806</v>
      </c>
      <c r="H988" s="36">
        <v>5.3400000000000003E-2</v>
      </c>
      <c r="I988" s="37">
        <v>2.15</v>
      </c>
      <c r="J988" s="37">
        <v>6032.9</v>
      </c>
      <c r="K988" s="35">
        <v>47</v>
      </c>
      <c r="L988" s="37">
        <v>128.36000000000001</v>
      </c>
      <c r="M988" s="37">
        <v>13262.4</v>
      </c>
      <c r="N988" s="38">
        <v>2.2000000000000002</v>
      </c>
    </row>
    <row r="989" spans="1:14" x14ac:dyDescent="0.3">
      <c r="A989" s="33">
        <v>45427</v>
      </c>
      <c r="B989" s="34" t="s">
        <v>60</v>
      </c>
      <c r="C989" s="34" t="s">
        <v>61</v>
      </c>
      <c r="D989" s="34" t="s">
        <v>68</v>
      </c>
      <c r="E989" s="34" t="s">
        <v>77</v>
      </c>
      <c r="F989" s="35">
        <v>139648</v>
      </c>
      <c r="G989" s="35">
        <v>4398</v>
      </c>
      <c r="H989" s="36">
        <v>3.15E-2</v>
      </c>
      <c r="I989" s="37">
        <v>3</v>
      </c>
      <c r="J989" s="37">
        <v>13194</v>
      </c>
      <c r="K989" s="35">
        <v>347</v>
      </c>
      <c r="L989" s="37">
        <v>38.020000000000003</v>
      </c>
      <c r="M989" s="37">
        <v>82597.149999999994</v>
      </c>
      <c r="N989" s="38">
        <v>6.26</v>
      </c>
    </row>
    <row r="990" spans="1:14" x14ac:dyDescent="0.3">
      <c r="A990" s="33">
        <v>45464</v>
      </c>
      <c r="B990" s="34" t="s">
        <v>64</v>
      </c>
      <c r="C990" s="34" t="s">
        <v>61</v>
      </c>
      <c r="D990" s="34" t="s">
        <v>62</v>
      </c>
      <c r="E990" s="34" t="s">
        <v>72</v>
      </c>
      <c r="F990" s="35">
        <v>186434</v>
      </c>
      <c r="G990" s="35">
        <v>8743</v>
      </c>
      <c r="H990" s="36">
        <v>4.6899999999999997E-2</v>
      </c>
      <c r="I990" s="37">
        <v>1.65</v>
      </c>
      <c r="J990" s="37">
        <v>14425.95</v>
      </c>
      <c r="K990" s="35">
        <v>87</v>
      </c>
      <c r="L990" s="37">
        <v>165.82</v>
      </c>
      <c r="M990" s="37">
        <v>21530.58</v>
      </c>
      <c r="N990" s="38">
        <v>1.49</v>
      </c>
    </row>
    <row r="991" spans="1:14" x14ac:dyDescent="0.3">
      <c r="A991" s="33">
        <v>45502</v>
      </c>
      <c r="B991" s="34" t="s">
        <v>60</v>
      </c>
      <c r="C991" s="34" t="s">
        <v>61</v>
      </c>
      <c r="D991" s="34" t="s">
        <v>62</v>
      </c>
      <c r="E991" s="34" t="s">
        <v>72</v>
      </c>
      <c r="F991" s="35">
        <v>63001</v>
      </c>
      <c r="G991" s="35">
        <v>3181</v>
      </c>
      <c r="H991" s="36">
        <v>5.0500000000000003E-2</v>
      </c>
      <c r="I991" s="37">
        <v>1.48</v>
      </c>
      <c r="J991" s="37">
        <v>4707.88</v>
      </c>
      <c r="K991" s="35">
        <v>94</v>
      </c>
      <c r="L991" s="37">
        <v>50.08</v>
      </c>
      <c r="M991" s="37">
        <v>3324.55</v>
      </c>
      <c r="N991" s="38">
        <v>0.71</v>
      </c>
    </row>
    <row r="992" spans="1:14" x14ac:dyDescent="0.3">
      <c r="A992" s="33">
        <v>45394</v>
      </c>
      <c r="B992" s="34" t="s">
        <v>74</v>
      </c>
      <c r="C992" s="34" t="s">
        <v>70</v>
      </c>
      <c r="D992" s="34" t="s">
        <v>76</v>
      </c>
      <c r="E992" s="34" t="s">
        <v>66</v>
      </c>
      <c r="F992" s="35">
        <v>132343</v>
      </c>
      <c r="G992" s="35">
        <v>3507</v>
      </c>
      <c r="H992" s="36">
        <v>2.6499999999999999E-2</v>
      </c>
      <c r="I992" s="37">
        <v>1.1399999999999999</v>
      </c>
      <c r="J992" s="37">
        <v>3997.98</v>
      </c>
      <c r="K992" s="35">
        <v>238</v>
      </c>
      <c r="L992" s="37">
        <v>16.8</v>
      </c>
      <c r="M992" s="37">
        <v>17184.939999999999</v>
      </c>
      <c r="N992" s="38">
        <v>4.3</v>
      </c>
    </row>
    <row r="993" spans="1:14" x14ac:dyDescent="0.3">
      <c r="A993" s="33">
        <v>45462</v>
      </c>
      <c r="B993" s="34" t="s">
        <v>60</v>
      </c>
      <c r="C993" s="34" t="s">
        <v>70</v>
      </c>
      <c r="D993" s="34" t="s">
        <v>68</v>
      </c>
      <c r="E993" s="34" t="s">
        <v>66</v>
      </c>
      <c r="F993" s="35">
        <v>172570</v>
      </c>
      <c r="G993" s="35">
        <v>3692</v>
      </c>
      <c r="H993" s="36">
        <v>2.1399999999999999E-2</v>
      </c>
      <c r="I993" s="37">
        <v>2.16</v>
      </c>
      <c r="J993" s="37">
        <v>7974.72</v>
      </c>
      <c r="K993" s="35">
        <v>53</v>
      </c>
      <c r="L993" s="37">
        <v>150.47</v>
      </c>
      <c r="M993" s="37">
        <v>15699.11</v>
      </c>
      <c r="N993" s="38">
        <v>1.97</v>
      </c>
    </row>
    <row r="994" spans="1:14" x14ac:dyDescent="0.3">
      <c r="A994" s="33">
        <v>45391</v>
      </c>
      <c r="B994" s="34" t="s">
        <v>60</v>
      </c>
      <c r="C994" s="34" t="s">
        <v>67</v>
      </c>
      <c r="D994" s="34" t="s">
        <v>62</v>
      </c>
      <c r="E994" s="34" t="s">
        <v>63</v>
      </c>
      <c r="F994" s="35">
        <v>196510</v>
      </c>
      <c r="G994" s="35">
        <v>10316</v>
      </c>
      <c r="H994" s="36">
        <v>5.2499999999999998E-2</v>
      </c>
      <c r="I994" s="37">
        <v>2</v>
      </c>
      <c r="J994" s="37">
        <v>20632</v>
      </c>
      <c r="K994" s="35">
        <v>282</v>
      </c>
      <c r="L994" s="37">
        <v>73.16</v>
      </c>
      <c r="M994" s="37">
        <v>66245.27</v>
      </c>
      <c r="N994" s="38">
        <v>3.21</v>
      </c>
    </row>
    <row r="995" spans="1:14" x14ac:dyDescent="0.3">
      <c r="A995" s="33">
        <v>45425</v>
      </c>
      <c r="B995" s="34" t="s">
        <v>60</v>
      </c>
      <c r="C995" s="34" t="s">
        <v>75</v>
      </c>
      <c r="D995" s="34" t="s">
        <v>65</v>
      </c>
      <c r="E995" s="34" t="s">
        <v>73</v>
      </c>
      <c r="F995" s="35">
        <v>140875</v>
      </c>
      <c r="G995" s="35">
        <v>6818</v>
      </c>
      <c r="H995" s="36">
        <v>4.8399999999999999E-2</v>
      </c>
      <c r="I995" s="37">
        <v>2.25</v>
      </c>
      <c r="J995" s="37">
        <v>15340.5</v>
      </c>
      <c r="K995" s="35">
        <v>142</v>
      </c>
      <c r="L995" s="37">
        <v>108.03</v>
      </c>
      <c r="M995" s="37">
        <v>28774.25</v>
      </c>
      <c r="N995" s="38">
        <v>1.88</v>
      </c>
    </row>
    <row r="996" spans="1:14" x14ac:dyDescent="0.3">
      <c r="A996" s="33">
        <v>45506</v>
      </c>
      <c r="B996" s="34" t="s">
        <v>64</v>
      </c>
      <c r="C996" s="34" t="s">
        <v>70</v>
      </c>
      <c r="D996" s="34" t="s">
        <v>71</v>
      </c>
      <c r="E996" s="34" t="s">
        <v>69</v>
      </c>
      <c r="F996" s="35">
        <v>50955</v>
      </c>
      <c r="G996" s="35">
        <v>3892</v>
      </c>
      <c r="H996" s="36">
        <v>7.6399999999999996E-2</v>
      </c>
      <c r="I996" s="37">
        <v>1.27</v>
      </c>
      <c r="J996" s="37">
        <v>4942.84</v>
      </c>
      <c r="K996" s="35">
        <v>224</v>
      </c>
      <c r="L996" s="37">
        <v>22.07</v>
      </c>
      <c r="M996" s="37">
        <v>60995.17</v>
      </c>
      <c r="N996" s="38">
        <v>12.34</v>
      </c>
    </row>
    <row r="997" spans="1:14" x14ac:dyDescent="0.3">
      <c r="A997" s="33">
        <v>45584</v>
      </c>
      <c r="B997" s="34" t="s">
        <v>60</v>
      </c>
      <c r="C997" s="34" t="s">
        <v>61</v>
      </c>
      <c r="D997" s="34" t="s">
        <v>62</v>
      </c>
      <c r="E997" s="34" t="s">
        <v>69</v>
      </c>
      <c r="F997" s="35">
        <v>103991</v>
      </c>
      <c r="G997" s="35">
        <v>3067</v>
      </c>
      <c r="H997" s="36">
        <v>2.9499999999999998E-2</v>
      </c>
      <c r="I997" s="37">
        <v>2.59</v>
      </c>
      <c r="J997" s="37">
        <v>7943.53</v>
      </c>
      <c r="K997" s="35">
        <v>142</v>
      </c>
      <c r="L997" s="37">
        <v>55.94</v>
      </c>
      <c r="M997" s="37">
        <v>36045.300000000003</v>
      </c>
      <c r="N997" s="38">
        <v>4.54</v>
      </c>
    </row>
    <row r="998" spans="1:14" x14ac:dyDescent="0.3">
      <c r="A998" s="33">
        <v>45590</v>
      </c>
      <c r="B998" s="34" t="s">
        <v>60</v>
      </c>
      <c r="C998" s="34" t="s">
        <v>67</v>
      </c>
      <c r="D998" s="34" t="s">
        <v>65</v>
      </c>
      <c r="E998" s="34" t="s">
        <v>72</v>
      </c>
      <c r="F998" s="35">
        <v>22637</v>
      </c>
      <c r="G998" s="35">
        <v>876</v>
      </c>
      <c r="H998" s="36">
        <v>3.8699999999999998E-2</v>
      </c>
      <c r="I998" s="37">
        <v>1.22</v>
      </c>
      <c r="J998" s="37">
        <v>1068.72</v>
      </c>
      <c r="K998" s="35">
        <v>16</v>
      </c>
      <c r="L998" s="37">
        <v>66.8</v>
      </c>
      <c r="M998" s="37">
        <v>2623.14</v>
      </c>
      <c r="N998" s="38">
        <v>2.4500000000000002</v>
      </c>
    </row>
    <row r="999" spans="1:14" x14ac:dyDescent="0.3">
      <c r="A999" s="33">
        <v>45646</v>
      </c>
      <c r="B999" s="34" t="s">
        <v>74</v>
      </c>
      <c r="C999" s="34" t="s">
        <v>75</v>
      </c>
      <c r="D999" s="34" t="s">
        <v>62</v>
      </c>
      <c r="E999" s="34" t="s">
        <v>73</v>
      </c>
      <c r="F999" s="35">
        <v>86099</v>
      </c>
      <c r="G999" s="35">
        <v>2910</v>
      </c>
      <c r="H999" s="36">
        <v>3.3799999999999997E-2</v>
      </c>
      <c r="I999" s="37">
        <v>2.19</v>
      </c>
      <c r="J999" s="37">
        <v>6372.9</v>
      </c>
      <c r="K999" s="35">
        <v>194</v>
      </c>
      <c r="L999" s="37">
        <v>32.85</v>
      </c>
      <c r="M999" s="37">
        <v>39485.519999999997</v>
      </c>
      <c r="N999" s="38">
        <v>6.2</v>
      </c>
    </row>
    <row r="1000" spans="1:14" x14ac:dyDescent="0.3">
      <c r="A1000" s="33">
        <v>45604</v>
      </c>
      <c r="B1000" s="34" t="s">
        <v>74</v>
      </c>
      <c r="C1000" s="34" t="s">
        <v>75</v>
      </c>
      <c r="D1000" s="34" t="s">
        <v>62</v>
      </c>
      <c r="E1000" s="34" t="s">
        <v>63</v>
      </c>
      <c r="F1000" s="35">
        <v>181950</v>
      </c>
      <c r="G1000" s="35">
        <v>2401</v>
      </c>
      <c r="H1000" s="36">
        <v>1.32E-2</v>
      </c>
      <c r="I1000" s="37">
        <v>0.67</v>
      </c>
      <c r="J1000" s="37">
        <v>1608.67</v>
      </c>
      <c r="K1000" s="35">
        <v>168</v>
      </c>
      <c r="L1000" s="37">
        <v>9.58</v>
      </c>
      <c r="M1000" s="37">
        <v>30028.61</v>
      </c>
      <c r="N1000" s="38">
        <v>18.670000000000002</v>
      </c>
    </row>
    <row r="1001" spans="1:14" x14ac:dyDescent="0.3">
      <c r="A1001" s="33">
        <v>45454</v>
      </c>
      <c r="B1001" s="34" t="s">
        <v>74</v>
      </c>
      <c r="C1001" s="34" t="s">
        <v>67</v>
      </c>
      <c r="D1001" s="34" t="s">
        <v>76</v>
      </c>
      <c r="E1001" s="34" t="s">
        <v>78</v>
      </c>
      <c r="F1001" s="35">
        <v>102229</v>
      </c>
      <c r="G1001" s="35">
        <v>2146</v>
      </c>
      <c r="H1001" s="36">
        <v>2.1000000000000001E-2</v>
      </c>
      <c r="I1001" s="37">
        <v>0.61</v>
      </c>
      <c r="J1001" s="37">
        <v>1309.06</v>
      </c>
      <c r="K1001" s="35">
        <v>52</v>
      </c>
      <c r="L1001" s="37">
        <v>25.17</v>
      </c>
      <c r="M1001" s="37">
        <v>14121.79</v>
      </c>
      <c r="N1001" s="38">
        <v>10.79</v>
      </c>
    </row>
    <row r="1002" spans="1:14" x14ac:dyDescent="0.3">
      <c r="A1002" s="33">
        <v>45557</v>
      </c>
      <c r="B1002" s="34" t="s">
        <v>64</v>
      </c>
      <c r="C1002" s="34" t="s">
        <v>67</v>
      </c>
      <c r="D1002" s="34" t="s">
        <v>71</v>
      </c>
      <c r="E1002" s="34" t="s">
        <v>72</v>
      </c>
      <c r="F1002" s="35">
        <v>53167</v>
      </c>
      <c r="G1002" s="35">
        <v>2536</v>
      </c>
      <c r="H1002" s="36">
        <v>4.7699999999999999E-2</v>
      </c>
      <c r="I1002" s="37">
        <v>0.44</v>
      </c>
      <c r="J1002" s="37">
        <v>1115.8399999999999</v>
      </c>
      <c r="K1002" s="35">
        <v>145</v>
      </c>
      <c r="L1002" s="37">
        <v>7.7</v>
      </c>
      <c r="M1002" s="37">
        <v>11216.46</v>
      </c>
      <c r="N1002" s="38">
        <v>10.050000000000001</v>
      </c>
    </row>
    <row r="1003" spans="1:14" x14ac:dyDescent="0.3">
      <c r="A1003" s="33">
        <v>45418</v>
      </c>
      <c r="B1003" s="34" t="s">
        <v>74</v>
      </c>
      <c r="C1003" s="34" t="s">
        <v>70</v>
      </c>
      <c r="D1003" s="34" t="s">
        <v>71</v>
      </c>
      <c r="E1003" s="34" t="s">
        <v>73</v>
      </c>
      <c r="F1003" s="35">
        <v>10177</v>
      </c>
      <c r="G1003" s="35">
        <v>413</v>
      </c>
      <c r="H1003" s="36">
        <v>4.0599999999999997E-2</v>
      </c>
      <c r="I1003" s="37">
        <v>1.85</v>
      </c>
      <c r="J1003" s="37">
        <v>764.05</v>
      </c>
      <c r="K1003" s="35">
        <v>16</v>
      </c>
      <c r="L1003" s="37">
        <v>47.75</v>
      </c>
      <c r="M1003" s="37">
        <v>4058.36</v>
      </c>
      <c r="N1003" s="38">
        <v>5.31</v>
      </c>
    </row>
    <row r="1004" spans="1:14" x14ac:dyDescent="0.3">
      <c r="A1004" s="33">
        <v>45634</v>
      </c>
      <c r="B1004" s="34" t="s">
        <v>74</v>
      </c>
      <c r="C1004" s="34" t="s">
        <v>70</v>
      </c>
      <c r="D1004" s="34" t="s">
        <v>76</v>
      </c>
      <c r="E1004" s="34" t="s">
        <v>73</v>
      </c>
      <c r="F1004" s="35">
        <v>67714</v>
      </c>
      <c r="G1004" s="35">
        <v>738</v>
      </c>
      <c r="H1004" s="36">
        <v>1.09E-2</v>
      </c>
      <c r="I1004" s="37">
        <v>1.1100000000000001</v>
      </c>
      <c r="J1004" s="37">
        <v>819.18</v>
      </c>
      <c r="K1004" s="35">
        <v>17</v>
      </c>
      <c r="L1004" s="37">
        <v>48.19</v>
      </c>
      <c r="M1004" s="37">
        <v>1445.84</v>
      </c>
      <c r="N1004" s="38">
        <v>1.76</v>
      </c>
    </row>
    <row r="1005" spans="1:14" x14ac:dyDescent="0.3">
      <c r="A1005" s="33">
        <v>45588</v>
      </c>
      <c r="B1005" s="34" t="s">
        <v>60</v>
      </c>
      <c r="C1005" s="34" t="s">
        <v>70</v>
      </c>
      <c r="D1005" s="34" t="s">
        <v>62</v>
      </c>
      <c r="E1005" s="34" t="s">
        <v>66</v>
      </c>
      <c r="F1005" s="35">
        <v>51032</v>
      </c>
      <c r="G1005" s="35">
        <v>3036</v>
      </c>
      <c r="H1005" s="36">
        <v>5.9499999999999997E-2</v>
      </c>
      <c r="I1005" s="37">
        <v>2.23</v>
      </c>
      <c r="J1005" s="37">
        <v>6770.28</v>
      </c>
      <c r="K1005" s="35">
        <v>195</v>
      </c>
      <c r="L1005" s="37">
        <v>34.72</v>
      </c>
      <c r="M1005" s="37">
        <v>18761.36</v>
      </c>
      <c r="N1005" s="38">
        <v>2.77</v>
      </c>
    </row>
    <row r="1006" spans="1:14" x14ac:dyDescent="0.3">
      <c r="A1006" s="33">
        <v>45515</v>
      </c>
      <c r="B1006" s="34" t="s">
        <v>64</v>
      </c>
      <c r="C1006" s="34" t="s">
        <v>75</v>
      </c>
      <c r="D1006" s="34" t="s">
        <v>71</v>
      </c>
      <c r="E1006" s="34" t="s">
        <v>69</v>
      </c>
      <c r="F1006" s="35">
        <v>68474</v>
      </c>
      <c r="G1006" s="35">
        <v>4923</v>
      </c>
      <c r="H1006" s="36">
        <v>7.1900000000000006E-2</v>
      </c>
      <c r="I1006" s="37">
        <v>0.47</v>
      </c>
      <c r="J1006" s="37">
        <v>2313.81</v>
      </c>
      <c r="K1006" s="35">
        <v>198</v>
      </c>
      <c r="L1006" s="37">
        <v>11.69</v>
      </c>
      <c r="M1006" s="37">
        <v>32574.400000000001</v>
      </c>
      <c r="N1006" s="38">
        <v>14.08</v>
      </c>
    </row>
    <row r="1007" spans="1:14" x14ac:dyDescent="0.3">
      <c r="A1007" s="33">
        <v>45516</v>
      </c>
      <c r="B1007" s="34" t="s">
        <v>64</v>
      </c>
      <c r="C1007" s="34" t="s">
        <v>67</v>
      </c>
      <c r="D1007" s="34" t="s">
        <v>71</v>
      </c>
      <c r="E1007" s="34" t="s">
        <v>78</v>
      </c>
      <c r="F1007" s="35">
        <v>12838</v>
      </c>
      <c r="G1007" s="35">
        <v>784</v>
      </c>
      <c r="H1007" s="36">
        <v>6.1100000000000002E-2</v>
      </c>
      <c r="I1007" s="37">
        <v>0.42</v>
      </c>
      <c r="J1007" s="37">
        <v>329.28</v>
      </c>
      <c r="K1007" s="35">
        <v>56</v>
      </c>
      <c r="L1007" s="37">
        <v>5.88</v>
      </c>
      <c r="M1007" s="37">
        <v>2887.05</v>
      </c>
      <c r="N1007" s="38">
        <v>8.77</v>
      </c>
    </row>
    <row r="1008" spans="1:14" x14ac:dyDescent="0.3">
      <c r="A1008" s="33">
        <v>45448</v>
      </c>
      <c r="B1008" s="34" t="s">
        <v>60</v>
      </c>
      <c r="C1008" s="34" t="s">
        <v>75</v>
      </c>
      <c r="D1008" s="34" t="s">
        <v>68</v>
      </c>
      <c r="E1008" s="34" t="s">
        <v>66</v>
      </c>
      <c r="F1008" s="35">
        <v>151595</v>
      </c>
      <c r="G1008" s="35">
        <v>9262</v>
      </c>
      <c r="H1008" s="36">
        <v>6.1100000000000002E-2</v>
      </c>
      <c r="I1008" s="37">
        <v>1.76</v>
      </c>
      <c r="J1008" s="37">
        <v>16301.12</v>
      </c>
      <c r="K1008" s="35">
        <v>572</v>
      </c>
      <c r="L1008" s="37">
        <v>28.5</v>
      </c>
      <c r="M1008" s="37">
        <v>85249.68</v>
      </c>
      <c r="N1008" s="38">
        <v>5.23</v>
      </c>
    </row>
    <row r="1009" spans="1:14" x14ac:dyDescent="0.3">
      <c r="A1009" s="33">
        <v>45393</v>
      </c>
      <c r="B1009" s="34" t="s">
        <v>64</v>
      </c>
      <c r="C1009" s="34" t="s">
        <v>67</v>
      </c>
      <c r="D1009" s="34" t="s">
        <v>76</v>
      </c>
      <c r="E1009" s="34" t="s">
        <v>72</v>
      </c>
      <c r="F1009" s="35">
        <v>38799</v>
      </c>
      <c r="G1009" s="35">
        <v>1303</v>
      </c>
      <c r="H1009" s="36">
        <v>3.3599999999999998E-2</v>
      </c>
      <c r="I1009" s="37">
        <v>0.33</v>
      </c>
      <c r="J1009" s="37">
        <v>429.99</v>
      </c>
      <c r="K1009" s="35">
        <v>51</v>
      </c>
      <c r="L1009" s="37">
        <v>8.43</v>
      </c>
      <c r="M1009" s="37">
        <v>4095.81</v>
      </c>
      <c r="N1009" s="38">
        <v>9.5299999999999994</v>
      </c>
    </row>
    <row r="1010" spans="1:14" x14ac:dyDescent="0.3">
      <c r="A1010" s="33">
        <v>45466</v>
      </c>
      <c r="B1010" s="34" t="s">
        <v>60</v>
      </c>
      <c r="C1010" s="34" t="s">
        <v>67</v>
      </c>
      <c r="D1010" s="34" t="s">
        <v>71</v>
      </c>
      <c r="E1010" s="34" t="s">
        <v>78</v>
      </c>
      <c r="F1010" s="35">
        <v>121565</v>
      </c>
      <c r="G1010" s="35">
        <v>2601</v>
      </c>
      <c r="H1010" s="36">
        <v>2.1399999999999999E-2</v>
      </c>
      <c r="I1010" s="37">
        <v>2.04</v>
      </c>
      <c r="J1010" s="37">
        <v>5306.04</v>
      </c>
      <c r="K1010" s="35">
        <v>176</v>
      </c>
      <c r="L1010" s="37">
        <v>30.15</v>
      </c>
      <c r="M1010" s="37">
        <v>34156.839999999997</v>
      </c>
      <c r="N1010" s="38">
        <v>6.44</v>
      </c>
    </row>
    <row r="1011" spans="1:14" x14ac:dyDescent="0.3">
      <c r="A1011" s="33">
        <v>45546</v>
      </c>
      <c r="B1011" s="34" t="s">
        <v>74</v>
      </c>
      <c r="C1011" s="34" t="s">
        <v>75</v>
      </c>
      <c r="D1011" s="34" t="s">
        <v>76</v>
      </c>
      <c r="E1011" s="34" t="s">
        <v>73</v>
      </c>
      <c r="F1011" s="35">
        <v>38762</v>
      </c>
      <c r="G1011" s="35">
        <v>1007</v>
      </c>
      <c r="H1011" s="36">
        <v>2.5999999999999999E-2</v>
      </c>
      <c r="I1011" s="37">
        <v>0.68</v>
      </c>
      <c r="J1011" s="37">
        <v>684.76</v>
      </c>
      <c r="K1011" s="35">
        <v>16</v>
      </c>
      <c r="L1011" s="37">
        <v>42.8</v>
      </c>
      <c r="M1011" s="37">
        <v>3871.2</v>
      </c>
      <c r="N1011" s="38">
        <v>5.65</v>
      </c>
    </row>
    <row r="1012" spans="1:14" x14ac:dyDescent="0.3">
      <c r="A1012" s="33">
        <v>45340</v>
      </c>
      <c r="B1012" s="34" t="s">
        <v>74</v>
      </c>
      <c r="C1012" s="34" t="s">
        <v>61</v>
      </c>
      <c r="D1012" s="34" t="s">
        <v>76</v>
      </c>
      <c r="E1012" s="34" t="s">
        <v>77</v>
      </c>
      <c r="F1012" s="35">
        <v>32410</v>
      </c>
      <c r="G1012" s="35">
        <v>693</v>
      </c>
      <c r="H1012" s="36">
        <v>2.1399999999999999E-2</v>
      </c>
      <c r="I1012" s="37">
        <v>1.79</v>
      </c>
      <c r="J1012" s="37">
        <v>1240.47</v>
      </c>
      <c r="K1012" s="35">
        <v>21</v>
      </c>
      <c r="L1012" s="37">
        <v>59.07</v>
      </c>
      <c r="M1012" s="37">
        <v>678.51</v>
      </c>
      <c r="N1012" s="38">
        <v>0.55000000000000004</v>
      </c>
    </row>
    <row r="1013" spans="1:14" x14ac:dyDescent="0.3">
      <c r="A1013" s="33">
        <v>45380</v>
      </c>
      <c r="B1013" s="34" t="s">
        <v>64</v>
      </c>
      <c r="C1013" s="34" t="s">
        <v>67</v>
      </c>
      <c r="D1013" s="34" t="s">
        <v>65</v>
      </c>
      <c r="E1013" s="34" t="s">
        <v>78</v>
      </c>
      <c r="F1013" s="35">
        <v>134132</v>
      </c>
      <c r="G1013" s="35">
        <v>4694</v>
      </c>
      <c r="H1013" s="36">
        <v>3.5000000000000003E-2</v>
      </c>
      <c r="I1013" s="37">
        <v>0.82</v>
      </c>
      <c r="J1013" s="37">
        <v>3849.08</v>
      </c>
      <c r="K1013" s="35">
        <v>306</v>
      </c>
      <c r="L1013" s="37">
        <v>12.58</v>
      </c>
      <c r="M1013" s="37">
        <v>52932.5</v>
      </c>
      <c r="N1013" s="38">
        <v>13.75</v>
      </c>
    </row>
    <row r="1014" spans="1:14" x14ac:dyDescent="0.3">
      <c r="A1014" s="33">
        <v>45319</v>
      </c>
      <c r="B1014" s="34" t="s">
        <v>60</v>
      </c>
      <c r="C1014" s="34" t="s">
        <v>75</v>
      </c>
      <c r="D1014" s="34" t="s">
        <v>76</v>
      </c>
      <c r="E1014" s="34" t="s">
        <v>78</v>
      </c>
      <c r="F1014" s="35">
        <v>38005</v>
      </c>
      <c r="G1014" s="35">
        <v>1489</v>
      </c>
      <c r="H1014" s="36">
        <v>3.9199999999999999E-2</v>
      </c>
      <c r="I1014" s="37">
        <v>1.51</v>
      </c>
      <c r="J1014" s="37">
        <v>2248.39</v>
      </c>
      <c r="K1014" s="35">
        <v>79</v>
      </c>
      <c r="L1014" s="37">
        <v>28.46</v>
      </c>
      <c r="M1014" s="37">
        <v>23043.93</v>
      </c>
      <c r="N1014" s="38">
        <v>10.25</v>
      </c>
    </row>
    <row r="1015" spans="1:14" x14ac:dyDescent="0.3">
      <c r="A1015" s="33">
        <v>45306</v>
      </c>
      <c r="B1015" s="34" t="s">
        <v>60</v>
      </c>
      <c r="C1015" s="34" t="s">
        <v>61</v>
      </c>
      <c r="D1015" s="34" t="s">
        <v>76</v>
      </c>
      <c r="E1015" s="34" t="s">
        <v>77</v>
      </c>
      <c r="F1015" s="35">
        <v>91348</v>
      </c>
      <c r="G1015" s="35">
        <v>2914</v>
      </c>
      <c r="H1015" s="36">
        <v>3.1899999999999998E-2</v>
      </c>
      <c r="I1015" s="37">
        <v>1.73</v>
      </c>
      <c r="J1015" s="37">
        <v>5041.22</v>
      </c>
      <c r="K1015" s="35">
        <v>98</v>
      </c>
      <c r="L1015" s="37">
        <v>51.44</v>
      </c>
      <c r="M1015" s="37">
        <v>14981.67</v>
      </c>
      <c r="N1015" s="38">
        <v>2.97</v>
      </c>
    </row>
    <row r="1016" spans="1:14" x14ac:dyDescent="0.3">
      <c r="A1016" s="33">
        <v>45526</v>
      </c>
      <c r="B1016" s="34" t="s">
        <v>60</v>
      </c>
      <c r="C1016" s="34" t="s">
        <v>75</v>
      </c>
      <c r="D1016" s="34" t="s">
        <v>76</v>
      </c>
      <c r="E1016" s="34" t="s">
        <v>66</v>
      </c>
      <c r="F1016" s="35">
        <v>87607</v>
      </c>
      <c r="G1016" s="35">
        <v>3661</v>
      </c>
      <c r="H1016" s="36">
        <v>4.1799999999999997E-2</v>
      </c>
      <c r="I1016" s="37">
        <v>3.15</v>
      </c>
      <c r="J1016" s="37">
        <v>11532.15</v>
      </c>
      <c r="K1016" s="35">
        <v>106</v>
      </c>
      <c r="L1016" s="37">
        <v>108.79</v>
      </c>
      <c r="M1016" s="37">
        <v>31383.75</v>
      </c>
      <c r="N1016" s="38">
        <v>2.72</v>
      </c>
    </row>
    <row r="1017" spans="1:14" x14ac:dyDescent="0.3">
      <c r="A1017" s="33">
        <v>45323</v>
      </c>
      <c r="B1017" s="34" t="s">
        <v>64</v>
      </c>
      <c r="C1017" s="34" t="s">
        <v>70</v>
      </c>
      <c r="D1017" s="34" t="s">
        <v>62</v>
      </c>
      <c r="E1017" s="34" t="s">
        <v>77</v>
      </c>
      <c r="F1017" s="35">
        <v>95288</v>
      </c>
      <c r="G1017" s="35">
        <v>7108</v>
      </c>
      <c r="H1017" s="36">
        <v>7.46E-2</v>
      </c>
      <c r="I1017" s="37">
        <v>0.51</v>
      </c>
      <c r="J1017" s="37">
        <v>3625.08</v>
      </c>
      <c r="K1017" s="35">
        <v>454</v>
      </c>
      <c r="L1017" s="37">
        <v>7.98</v>
      </c>
      <c r="M1017" s="37">
        <v>132401.60999999999</v>
      </c>
      <c r="N1017" s="38">
        <v>36.520000000000003</v>
      </c>
    </row>
    <row r="1018" spans="1:14" x14ac:dyDescent="0.3">
      <c r="A1018" s="33">
        <v>45563</v>
      </c>
      <c r="B1018" s="34" t="s">
        <v>64</v>
      </c>
      <c r="C1018" s="34" t="s">
        <v>67</v>
      </c>
      <c r="D1018" s="34" t="s">
        <v>68</v>
      </c>
      <c r="E1018" s="34" t="s">
        <v>66</v>
      </c>
      <c r="F1018" s="35">
        <v>68620</v>
      </c>
      <c r="G1018" s="35">
        <v>3602</v>
      </c>
      <c r="H1018" s="36">
        <v>5.2499999999999998E-2</v>
      </c>
      <c r="I1018" s="37">
        <v>0.48</v>
      </c>
      <c r="J1018" s="37">
        <v>1728.96</v>
      </c>
      <c r="K1018" s="35">
        <v>134</v>
      </c>
      <c r="L1018" s="37">
        <v>12.9</v>
      </c>
      <c r="M1018" s="37">
        <v>22980.94</v>
      </c>
      <c r="N1018" s="38">
        <v>13.29</v>
      </c>
    </row>
    <row r="1019" spans="1:14" x14ac:dyDescent="0.3">
      <c r="A1019" s="33">
        <v>45479</v>
      </c>
      <c r="B1019" s="34" t="s">
        <v>64</v>
      </c>
      <c r="C1019" s="34" t="s">
        <v>67</v>
      </c>
      <c r="D1019" s="34" t="s">
        <v>68</v>
      </c>
      <c r="E1019" s="34" t="s">
        <v>78</v>
      </c>
      <c r="F1019" s="35">
        <v>95975</v>
      </c>
      <c r="G1019" s="35">
        <v>3848</v>
      </c>
      <c r="H1019" s="36">
        <v>4.0099999999999997E-2</v>
      </c>
      <c r="I1019" s="37">
        <v>1.78</v>
      </c>
      <c r="J1019" s="37">
        <v>6849.44</v>
      </c>
      <c r="K1019" s="35">
        <v>66</v>
      </c>
      <c r="L1019" s="37">
        <v>103.78</v>
      </c>
      <c r="M1019" s="37">
        <v>6246.82</v>
      </c>
      <c r="N1019" s="38">
        <v>0.91</v>
      </c>
    </row>
    <row r="1020" spans="1:14" x14ac:dyDescent="0.3">
      <c r="A1020" s="33">
        <v>45638</v>
      </c>
      <c r="B1020" s="34" t="s">
        <v>60</v>
      </c>
      <c r="C1020" s="34" t="s">
        <v>70</v>
      </c>
      <c r="D1020" s="34" t="s">
        <v>71</v>
      </c>
      <c r="E1020" s="34" t="s">
        <v>73</v>
      </c>
      <c r="F1020" s="35">
        <v>162064</v>
      </c>
      <c r="G1020" s="35">
        <v>5607</v>
      </c>
      <c r="H1020" s="36">
        <v>3.4599999999999999E-2</v>
      </c>
      <c r="I1020" s="37">
        <v>2.42</v>
      </c>
      <c r="J1020" s="37">
        <v>13568.94</v>
      </c>
      <c r="K1020" s="35">
        <v>77</v>
      </c>
      <c r="L1020" s="37">
        <v>176.22</v>
      </c>
      <c r="M1020" s="37">
        <v>8174.03</v>
      </c>
      <c r="N1020" s="38">
        <v>0.6</v>
      </c>
    </row>
    <row r="1021" spans="1:14" x14ac:dyDescent="0.3">
      <c r="A1021" s="33">
        <v>45430</v>
      </c>
      <c r="B1021" s="34" t="s">
        <v>74</v>
      </c>
      <c r="C1021" s="34" t="s">
        <v>61</v>
      </c>
      <c r="D1021" s="34" t="s">
        <v>62</v>
      </c>
      <c r="E1021" s="34" t="s">
        <v>69</v>
      </c>
      <c r="F1021" s="35">
        <v>57712</v>
      </c>
      <c r="G1021" s="35">
        <v>848</v>
      </c>
      <c r="H1021" s="36">
        <v>1.47E-2</v>
      </c>
      <c r="I1021" s="37">
        <v>0.9</v>
      </c>
      <c r="J1021" s="37">
        <v>763.2</v>
      </c>
      <c r="K1021" s="35">
        <v>64</v>
      </c>
      <c r="L1021" s="37">
        <v>11.93</v>
      </c>
      <c r="M1021" s="37">
        <v>2136.83</v>
      </c>
      <c r="N1021" s="38">
        <v>2.8</v>
      </c>
    </row>
    <row r="1022" spans="1:14" x14ac:dyDescent="0.3">
      <c r="A1022" s="33">
        <v>45472</v>
      </c>
      <c r="B1022" s="34" t="s">
        <v>74</v>
      </c>
      <c r="C1022" s="34" t="s">
        <v>70</v>
      </c>
      <c r="D1022" s="34" t="s">
        <v>62</v>
      </c>
      <c r="E1022" s="34" t="s">
        <v>72</v>
      </c>
      <c r="F1022" s="35">
        <v>147412</v>
      </c>
      <c r="G1022" s="35">
        <v>3670</v>
      </c>
      <c r="H1022" s="36">
        <v>2.4899999999999999E-2</v>
      </c>
      <c r="I1022" s="37">
        <v>1.17</v>
      </c>
      <c r="J1022" s="37">
        <v>4293.8999999999996</v>
      </c>
      <c r="K1022" s="35">
        <v>162</v>
      </c>
      <c r="L1022" s="37">
        <v>26.51</v>
      </c>
      <c r="M1022" s="37">
        <v>38717.46</v>
      </c>
      <c r="N1022" s="38">
        <v>9.02</v>
      </c>
    </row>
    <row r="1023" spans="1:14" x14ac:dyDescent="0.3">
      <c r="A1023" s="33">
        <v>45328</v>
      </c>
      <c r="B1023" s="34" t="s">
        <v>60</v>
      </c>
      <c r="C1023" s="34" t="s">
        <v>75</v>
      </c>
      <c r="D1023" s="34" t="s">
        <v>76</v>
      </c>
      <c r="E1023" s="34" t="s">
        <v>63</v>
      </c>
      <c r="F1023" s="35">
        <v>79525</v>
      </c>
      <c r="G1023" s="35">
        <v>2298</v>
      </c>
      <c r="H1023" s="36">
        <v>2.8899999999999999E-2</v>
      </c>
      <c r="I1023" s="37">
        <v>1.58</v>
      </c>
      <c r="J1023" s="37">
        <v>3630.84</v>
      </c>
      <c r="K1023" s="35">
        <v>119</v>
      </c>
      <c r="L1023" s="37">
        <v>30.51</v>
      </c>
      <c r="M1023" s="37">
        <v>21777.03</v>
      </c>
      <c r="N1023" s="38">
        <v>6</v>
      </c>
    </row>
    <row r="1024" spans="1:14" x14ac:dyDescent="0.3">
      <c r="A1024" s="33">
        <v>45400</v>
      </c>
      <c r="B1024" s="34" t="s">
        <v>74</v>
      </c>
      <c r="C1024" s="34" t="s">
        <v>70</v>
      </c>
      <c r="D1024" s="34" t="s">
        <v>76</v>
      </c>
      <c r="E1024" s="34" t="s">
        <v>66</v>
      </c>
      <c r="F1024" s="35">
        <v>78480</v>
      </c>
      <c r="G1024" s="35">
        <v>1389</v>
      </c>
      <c r="H1024" s="36">
        <v>1.77E-2</v>
      </c>
      <c r="I1024" s="37">
        <v>1.69</v>
      </c>
      <c r="J1024" s="37">
        <v>2347.41</v>
      </c>
      <c r="K1024" s="35">
        <v>19</v>
      </c>
      <c r="L1024" s="37">
        <v>123.55</v>
      </c>
      <c r="M1024" s="37">
        <v>2972.32</v>
      </c>
      <c r="N1024" s="38">
        <v>1.27</v>
      </c>
    </row>
    <row r="1025" spans="1:14" x14ac:dyDescent="0.3">
      <c r="A1025" s="33">
        <v>45362</v>
      </c>
      <c r="B1025" s="34" t="s">
        <v>64</v>
      </c>
      <c r="C1025" s="34" t="s">
        <v>75</v>
      </c>
      <c r="D1025" s="34" t="s">
        <v>71</v>
      </c>
      <c r="E1025" s="34" t="s">
        <v>66</v>
      </c>
      <c r="F1025" s="35">
        <v>165232</v>
      </c>
      <c r="G1025" s="35">
        <v>7617</v>
      </c>
      <c r="H1025" s="36">
        <v>4.6100000000000002E-2</v>
      </c>
      <c r="I1025" s="37">
        <v>0.77</v>
      </c>
      <c r="J1025" s="37">
        <v>5865.09</v>
      </c>
      <c r="K1025" s="35">
        <v>601</v>
      </c>
      <c r="L1025" s="37">
        <v>9.76</v>
      </c>
      <c r="M1025" s="37">
        <v>102707.85</v>
      </c>
      <c r="N1025" s="38">
        <v>17.510000000000002</v>
      </c>
    </row>
    <row r="1026" spans="1:14" x14ac:dyDescent="0.3">
      <c r="A1026" s="33">
        <v>45430</v>
      </c>
      <c r="B1026" s="34" t="s">
        <v>60</v>
      </c>
      <c r="C1026" s="34" t="s">
        <v>75</v>
      </c>
      <c r="D1026" s="34" t="s">
        <v>71</v>
      </c>
      <c r="E1026" s="34" t="s">
        <v>63</v>
      </c>
      <c r="F1026" s="35">
        <v>13294</v>
      </c>
      <c r="G1026" s="35">
        <v>583</v>
      </c>
      <c r="H1026" s="36">
        <v>4.3900000000000002E-2</v>
      </c>
      <c r="I1026" s="37">
        <v>1.38</v>
      </c>
      <c r="J1026" s="37">
        <v>804.54</v>
      </c>
      <c r="K1026" s="35">
        <v>46</v>
      </c>
      <c r="L1026" s="37">
        <v>17.489999999999998</v>
      </c>
      <c r="M1026" s="37">
        <v>11553.7</v>
      </c>
      <c r="N1026" s="38">
        <v>14.36</v>
      </c>
    </row>
    <row r="1027" spans="1:14" x14ac:dyDescent="0.3">
      <c r="A1027" s="33">
        <v>45612</v>
      </c>
      <c r="B1027" s="34" t="s">
        <v>74</v>
      </c>
      <c r="C1027" s="34" t="s">
        <v>67</v>
      </c>
      <c r="D1027" s="34" t="s">
        <v>65</v>
      </c>
      <c r="E1027" s="34" t="s">
        <v>66</v>
      </c>
      <c r="F1027" s="35">
        <v>55333</v>
      </c>
      <c r="G1027" s="35">
        <v>852</v>
      </c>
      <c r="H1027" s="36">
        <v>1.54E-2</v>
      </c>
      <c r="I1027" s="37">
        <v>1.05</v>
      </c>
      <c r="J1027" s="37">
        <v>894.6</v>
      </c>
      <c r="K1027" s="35">
        <v>66</v>
      </c>
      <c r="L1027" s="37">
        <v>13.55</v>
      </c>
      <c r="M1027" s="37">
        <v>12295.52</v>
      </c>
      <c r="N1027" s="38">
        <v>13.74</v>
      </c>
    </row>
    <row r="1028" spans="1:14" x14ac:dyDescent="0.3">
      <c r="A1028" s="33">
        <v>45559</v>
      </c>
      <c r="B1028" s="34" t="s">
        <v>74</v>
      </c>
      <c r="C1028" s="34" t="s">
        <v>75</v>
      </c>
      <c r="D1028" s="34" t="s">
        <v>62</v>
      </c>
      <c r="E1028" s="34" t="s">
        <v>66</v>
      </c>
      <c r="F1028" s="35">
        <v>177027</v>
      </c>
      <c r="G1028" s="35">
        <v>6160</v>
      </c>
      <c r="H1028" s="36">
        <v>3.4799999999999998E-2</v>
      </c>
      <c r="I1028" s="37">
        <v>1.23</v>
      </c>
      <c r="J1028" s="37">
        <v>7576.8</v>
      </c>
      <c r="K1028" s="35">
        <v>220</v>
      </c>
      <c r="L1028" s="37">
        <v>34.44</v>
      </c>
      <c r="M1028" s="37">
        <v>59390.91</v>
      </c>
      <c r="N1028" s="38">
        <v>7.84</v>
      </c>
    </row>
    <row r="1029" spans="1:14" x14ac:dyDescent="0.3">
      <c r="A1029" s="33">
        <v>45606</v>
      </c>
      <c r="B1029" s="34" t="s">
        <v>74</v>
      </c>
      <c r="C1029" s="34" t="s">
        <v>61</v>
      </c>
      <c r="D1029" s="34" t="s">
        <v>76</v>
      </c>
      <c r="E1029" s="34" t="s">
        <v>69</v>
      </c>
      <c r="F1029" s="35">
        <v>21679</v>
      </c>
      <c r="G1029" s="35">
        <v>448</v>
      </c>
      <c r="H1029" s="36">
        <v>2.07E-2</v>
      </c>
      <c r="I1029" s="37">
        <v>0.89</v>
      </c>
      <c r="J1029" s="37">
        <v>398.72</v>
      </c>
      <c r="K1029" s="35">
        <v>31</v>
      </c>
      <c r="L1029" s="37">
        <v>12.86</v>
      </c>
      <c r="M1029" s="37">
        <v>3556.66</v>
      </c>
      <c r="N1029" s="38">
        <v>8.92</v>
      </c>
    </row>
    <row r="1030" spans="1:14" x14ac:dyDescent="0.3">
      <c r="A1030" s="33">
        <v>45482</v>
      </c>
      <c r="B1030" s="34" t="s">
        <v>60</v>
      </c>
      <c r="C1030" s="34" t="s">
        <v>61</v>
      </c>
      <c r="D1030" s="34" t="s">
        <v>68</v>
      </c>
      <c r="E1030" s="34" t="s">
        <v>66</v>
      </c>
      <c r="F1030" s="35">
        <v>18601</v>
      </c>
      <c r="G1030" s="35">
        <v>706</v>
      </c>
      <c r="H1030" s="36">
        <v>3.7999999999999999E-2</v>
      </c>
      <c r="I1030" s="37">
        <v>2</v>
      </c>
      <c r="J1030" s="37">
        <v>1412</v>
      </c>
      <c r="K1030" s="35">
        <v>54</v>
      </c>
      <c r="L1030" s="37">
        <v>26.15</v>
      </c>
      <c r="M1030" s="37">
        <v>3302.39</v>
      </c>
      <c r="N1030" s="38">
        <v>2.34</v>
      </c>
    </row>
    <row r="1031" spans="1:14" x14ac:dyDescent="0.3">
      <c r="A1031" s="33">
        <v>45625</v>
      </c>
      <c r="B1031" s="34" t="s">
        <v>60</v>
      </c>
      <c r="C1031" s="34" t="s">
        <v>70</v>
      </c>
      <c r="D1031" s="34" t="s">
        <v>68</v>
      </c>
      <c r="E1031" s="34" t="s">
        <v>63</v>
      </c>
      <c r="F1031" s="35">
        <v>146583</v>
      </c>
      <c r="G1031" s="35">
        <v>2990</v>
      </c>
      <c r="H1031" s="36">
        <v>2.0400000000000001E-2</v>
      </c>
      <c r="I1031" s="37">
        <v>1.61</v>
      </c>
      <c r="J1031" s="37">
        <v>4813.8999999999996</v>
      </c>
      <c r="K1031" s="35">
        <v>114</v>
      </c>
      <c r="L1031" s="37">
        <v>42.23</v>
      </c>
      <c r="M1031" s="37">
        <v>8660.2800000000007</v>
      </c>
      <c r="N1031" s="38">
        <v>1.8</v>
      </c>
    </row>
    <row r="1032" spans="1:14" x14ac:dyDescent="0.3">
      <c r="A1032" s="33">
        <v>45613</v>
      </c>
      <c r="B1032" s="34" t="s">
        <v>60</v>
      </c>
      <c r="C1032" s="34" t="s">
        <v>70</v>
      </c>
      <c r="D1032" s="34" t="s">
        <v>62</v>
      </c>
      <c r="E1032" s="34" t="s">
        <v>78</v>
      </c>
      <c r="F1032" s="35">
        <v>46745</v>
      </c>
      <c r="G1032" s="35">
        <v>2140</v>
      </c>
      <c r="H1032" s="36">
        <v>4.58E-2</v>
      </c>
      <c r="I1032" s="37">
        <v>3.44</v>
      </c>
      <c r="J1032" s="37">
        <v>7361.6</v>
      </c>
      <c r="K1032" s="35">
        <v>38</v>
      </c>
      <c r="L1032" s="37">
        <v>193.73</v>
      </c>
      <c r="M1032" s="37">
        <v>5289.97</v>
      </c>
      <c r="N1032" s="38">
        <v>0.72</v>
      </c>
    </row>
    <row r="1033" spans="1:14" x14ac:dyDescent="0.3">
      <c r="A1033" s="33">
        <v>45635</v>
      </c>
      <c r="B1033" s="34" t="s">
        <v>60</v>
      </c>
      <c r="C1033" s="34" t="s">
        <v>75</v>
      </c>
      <c r="D1033" s="34" t="s">
        <v>76</v>
      </c>
      <c r="E1033" s="34" t="s">
        <v>73</v>
      </c>
      <c r="F1033" s="35">
        <v>39505</v>
      </c>
      <c r="G1033" s="35">
        <v>2251</v>
      </c>
      <c r="H1033" s="36">
        <v>5.7000000000000002E-2</v>
      </c>
      <c r="I1033" s="37">
        <v>3.06</v>
      </c>
      <c r="J1033" s="37">
        <v>6888.06</v>
      </c>
      <c r="K1033" s="35">
        <v>149</v>
      </c>
      <c r="L1033" s="37">
        <v>46.23</v>
      </c>
      <c r="M1033" s="37">
        <v>30920.99</v>
      </c>
      <c r="N1033" s="38">
        <v>4.49</v>
      </c>
    </row>
    <row r="1034" spans="1:14" x14ac:dyDescent="0.3">
      <c r="A1034" s="33">
        <v>45362</v>
      </c>
      <c r="B1034" s="34" t="s">
        <v>60</v>
      </c>
      <c r="C1034" s="34" t="s">
        <v>70</v>
      </c>
      <c r="D1034" s="34" t="s">
        <v>68</v>
      </c>
      <c r="E1034" s="34" t="s">
        <v>72</v>
      </c>
      <c r="F1034" s="35">
        <v>179342</v>
      </c>
      <c r="G1034" s="35">
        <v>4071</v>
      </c>
      <c r="H1034" s="36">
        <v>2.2700000000000001E-2</v>
      </c>
      <c r="I1034" s="37">
        <v>2.2599999999999998</v>
      </c>
      <c r="J1034" s="37">
        <v>9200.4599999999991</v>
      </c>
      <c r="K1034" s="35">
        <v>195</v>
      </c>
      <c r="L1034" s="37">
        <v>47.18</v>
      </c>
      <c r="M1034" s="37">
        <v>30682.52</v>
      </c>
      <c r="N1034" s="38">
        <v>3.33</v>
      </c>
    </row>
    <row r="1035" spans="1:14" x14ac:dyDescent="0.3">
      <c r="A1035" s="33">
        <v>45592</v>
      </c>
      <c r="B1035" s="34" t="s">
        <v>60</v>
      </c>
      <c r="C1035" s="34" t="s">
        <v>67</v>
      </c>
      <c r="D1035" s="34" t="s">
        <v>62</v>
      </c>
      <c r="E1035" s="34" t="s">
        <v>63</v>
      </c>
      <c r="F1035" s="35">
        <v>75410</v>
      </c>
      <c r="G1035" s="35">
        <v>3039</v>
      </c>
      <c r="H1035" s="36">
        <v>4.0300000000000002E-2</v>
      </c>
      <c r="I1035" s="37">
        <v>0.95</v>
      </c>
      <c r="J1035" s="37">
        <v>2887.05</v>
      </c>
      <c r="K1035" s="35">
        <v>239</v>
      </c>
      <c r="L1035" s="37">
        <v>12.08</v>
      </c>
      <c r="M1035" s="37">
        <v>29467.42</v>
      </c>
      <c r="N1035" s="38">
        <v>10.210000000000001</v>
      </c>
    </row>
    <row r="1036" spans="1:14" x14ac:dyDescent="0.3">
      <c r="A1036" s="33">
        <v>45471</v>
      </c>
      <c r="B1036" s="34" t="s">
        <v>60</v>
      </c>
      <c r="C1036" s="34" t="s">
        <v>61</v>
      </c>
      <c r="D1036" s="34" t="s">
        <v>68</v>
      </c>
      <c r="E1036" s="34" t="s">
        <v>63</v>
      </c>
      <c r="F1036" s="35">
        <v>83488</v>
      </c>
      <c r="G1036" s="35">
        <v>4049</v>
      </c>
      <c r="H1036" s="36">
        <v>4.8500000000000001E-2</v>
      </c>
      <c r="I1036" s="37">
        <v>1.1499999999999999</v>
      </c>
      <c r="J1036" s="37">
        <v>4656.3500000000004</v>
      </c>
      <c r="K1036" s="35">
        <v>45</v>
      </c>
      <c r="L1036" s="37">
        <v>103.47</v>
      </c>
      <c r="M1036" s="37">
        <v>2103</v>
      </c>
      <c r="N1036" s="38">
        <v>0.45</v>
      </c>
    </row>
    <row r="1037" spans="1:14" x14ac:dyDescent="0.3">
      <c r="A1037" s="33">
        <v>45652</v>
      </c>
      <c r="B1037" s="34" t="s">
        <v>64</v>
      </c>
      <c r="C1037" s="34" t="s">
        <v>75</v>
      </c>
      <c r="D1037" s="34" t="s">
        <v>71</v>
      </c>
      <c r="E1037" s="34" t="s">
        <v>69</v>
      </c>
      <c r="F1037" s="35">
        <v>149143</v>
      </c>
      <c r="G1037" s="35">
        <v>5175</v>
      </c>
      <c r="H1037" s="36">
        <v>3.4700000000000002E-2</v>
      </c>
      <c r="I1037" s="37">
        <v>0.53</v>
      </c>
      <c r="J1037" s="37">
        <v>2742.75</v>
      </c>
      <c r="K1037" s="35">
        <v>140</v>
      </c>
      <c r="L1037" s="37">
        <v>19.59</v>
      </c>
      <c r="M1037" s="37">
        <v>11705.28</v>
      </c>
      <c r="N1037" s="38">
        <v>4.2699999999999996</v>
      </c>
    </row>
    <row r="1038" spans="1:14" x14ac:dyDescent="0.3">
      <c r="A1038" s="33">
        <v>45617</v>
      </c>
      <c r="B1038" s="34" t="s">
        <v>74</v>
      </c>
      <c r="C1038" s="34" t="s">
        <v>70</v>
      </c>
      <c r="D1038" s="34" t="s">
        <v>62</v>
      </c>
      <c r="E1038" s="34" t="s">
        <v>78</v>
      </c>
      <c r="F1038" s="35">
        <v>52743</v>
      </c>
      <c r="G1038" s="35">
        <v>1207</v>
      </c>
      <c r="H1038" s="36">
        <v>2.29E-2</v>
      </c>
      <c r="I1038" s="37">
        <v>1.93</v>
      </c>
      <c r="J1038" s="37">
        <v>2329.5100000000002</v>
      </c>
      <c r="K1038" s="35">
        <v>90</v>
      </c>
      <c r="L1038" s="37">
        <v>25.88</v>
      </c>
      <c r="M1038" s="37">
        <v>11281.65</v>
      </c>
      <c r="N1038" s="38">
        <v>4.84</v>
      </c>
    </row>
    <row r="1039" spans="1:14" x14ac:dyDescent="0.3">
      <c r="A1039" s="33">
        <v>45401</v>
      </c>
      <c r="B1039" s="34" t="s">
        <v>74</v>
      </c>
      <c r="C1039" s="34" t="s">
        <v>70</v>
      </c>
      <c r="D1039" s="34" t="s">
        <v>68</v>
      </c>
      <c r="E1039" s="34" t="s">
        <v>66</v>
      </c>
      <c r="F1039" s="35">
        <v>92091</v>
      </c>
      <c r="G1039" s="35">
        <v>3342</v>
      </c>
      <c r="H1039" s="36">
        <v>3.6299999999999999E-2</v>
      </c>
      <c r="I1039" s="37">
        <v>1.48</v>
      </c>
      <c r="J1039" s="37">
        <v>4946.16</v>
      </c>
      <c r="K1039" s="35">
        <v>145</v>
      </c>
      <c r="L1039" s="37">
        <v>34.11</v>
      </c>
      <c r="M1039" s="37">
        <v>37976.42</v>
      </c>
      <c r="N1039" s="38">
        <v>7.68</v>
      </c>
    </row>
    <row r="1040" spans="1:14" x14ac:dyDescent="0.3">
      <c r="A1040" s="33">
        <v>45396</v>
      </c>
      <c r="B1040" s="34" t="s">
        <v>64</v>
      </c>
      <c r="C1040" s="34" t="s">
        <v>67</v>
      </c>
      <c r="D1040" s="34" t="s">
        <v>68</v>
      </c>
      <c r="E1040" s="34" t="s">
        <v>69</v>
      </c>
      <c r="F1040" s="35">
        <v>118687</v>
      </c>
      <c r="G1040" s="35">
        <v>10586</v>
      </c>
      <c r="H1040" s="36">
        <v>8.9200000000000002E-2</v>
      </c>
      <c r="I1040" s="37">
        <v>0.75</v>
      </c>
      <c r="J1040" s="37">
        <v>7939.5</v>
      </c>
      <c r="K1040" s="35">
        <v>635</v>
      </c>
      <c r="L1040" s="37">
        <v>12.5</v>
      </c>
      <c r="M1040" s="37">
        <v>88046.75</v>
      </c>
      <c r="N1040" s="38">
        <v>11.09</v>
      </c>
    </row>
    <row r="1041" spans="1:14" x14ac:dyDescent="0.3">
      <c r="A1041" s="33">
        <v>45590</v>
      </c>
      <c r="B1041" s="34" t="s">
        <v>60</v>
      </c>
      <c r="C1041" s="34" t="s">
        <v>67</v>
      </c>
      <c r="D1041" s="34" t="s">
        <v>65</v>
      </c>
      <c r="E1041" s="34" t="s">
        <v>63</v>
      </c>
      <c r="F1041" s="35">
        <v>195664</v>
      </c>
      <c r="G1041" s="35">
        <v>6378</v>
      </c>
      <c r="H1041" s="36">
        <v>3.2599999999999997E-2</v>
      </c>
      <c r="I1041" s="37">
        <v>2.6</v>
      </c>
      <c r="J1041" s="37">
        <v>16582.8</v>
      </c>
      <c r="K1041" s="35">
        <v>312</v>
      </c>
      <c r="L1041" s="37">
        <v>53.15</v>
      </c>
      <c r="M1041" s="37">
        <v>33814.660000000003</v>
      </c>
      <c r="N1041" s="38">
        <v>2.04</v>
      </c>
    </row>
    <row r="1042" spans="1:14" x14ac:dyDescent="0.3">
      <c r="A1042" s="33">
        <v>45561</v>
      </c>
      <c r="B1042" s="34" t="s">
        <v>64</v>
      </c>
      <c r="C1042" s="34" t="s">
        <v>61</v>
      </c>
      <c r="D1042" s="34" t="s">
        <v>65</v>
      </c>
      <c r="E1042" s="34" t="s">
        <v>77</v>
      </c>
      <c r="F1042" s="35">
        <v>89946</v>
      </c>
      <c r="G1042" s="35">
        <v>5162</v>
      </c>
      <c r="H1042" s="36">
        <v>5.74E-2</v>
      </c>
      <c r="I1042" s="37">
        <v>0.63</v>
      </c>
      <c r="J1042" s="37">
        <v>3252.06</v>
      </c>
      <c r="K1042" s="35">
        <v>349</v>
      </c>
      <c r="L1042" s="37">
        <v>9.32</v>
      </c>
      <c r="M1042" s="37">
        <v>87393.19</v>
      </c>
      <c r="N1042" s="38">
        <v>26.87</v>
      </c>
    </row>
    <row r="1043" spans="1:14" x14ac:dyDescent="0.3">
      <c r="A1043" s="33">
        <v>45631</v>
      </c>
      <c r="B1043" s="34" t="s">
        <v>64</v>
      </c>
      <c r="C1043" s="34" t="s">
        <v>61</v>
      </c>
      <c r="D1043" s="34" t="s">
        <v>65</v>
      </c>
      <c r="E1043" s="34" t="s">
        <v>77</v>
      </c>
      <c r="F1043" s="35">
        <v>170529</v>
      </c>
      <c r="G1043" s="35">
        <v>11766</v>
      </c>
      <c r="H1043" s="36">
        <v>6.9000000000000006E-2</v>
      </c>
      <c r="I1043" s="37">
        <v>1.48</v>
      </c>
      <c r="J1043" s="37">
        <v>17413.68</v>
      </c>
      <c r="K1043" s="35">
        <v>695</v>
      </c>
      <c r="L1043" s="37">
        <v>25.06</v>
      </c>
      <c r="M1043" s="37">
        <v>102403.13</v>
      </c>
      <c r="N1043" s="38">
        <v>5.88</v>
      </c>
    </row>
    <row r="1044" spans="1:14" x14ac:dyDescent="0.3">
      <c r="A1044" s="33">
        <v>45294</v>
      </c>
      <c r="B1044" s="34" t="s">
        <v>74</v>
      </c>
      <c r="C1044" s="34" t="s">
        <v>75</v>
      </c>
      <c r="D1044" s="34" t="s">
        <v>62</v>
      </c>
      <c r="E1044" s="34" t="s">
        <v>73</v>
      </c>
      <c r="F1044" s="35">
        <v>129750</v>
      </c>
      <c r="G1044" s="35">
        <v>2452</v>
      </c>
      <c r="H1044" s="36">
        <v>1.89E-2</v>
      </c>
      <c r="I1044" s="37">
        <v>1.0900000000000001</v>
      </c>
      <c r="J1044" s="37">
        <v>2672.68</v>
      </c>
      <c r="K1044" s="35">
        <v>93</v>
      </c>
      <c r="L1044" s="37">
        <v>28.74</v>
      </c>
      <c r="M1044" s="37">
        <v>23770.39</v>
      </c>
      <c r="N1044" s="38">
        <v>8.89</v>
      </c>
    </row>
    <row r="1045" spans="1:14" x14ac:dyDescent="0.3">
      <c r="A1045" s="33">
        <v>45313</v>
      </c>
      <c r="B1045" s="34" t="s">
        <v>74</v>
      </c>
      <c r="C1045" s="34" t="s">
        <v>75</v>
      </c>
      <c r="D1045" s="34" t="s">
        <v>68</v>
      </c>
      <c r="E1045" s="34" t="s">
        <v>69</v>
      </c>
      <c r="F1045" s="35">
        <v>197882</v>
      </c>
      <c r="G1045" s="35">
        <v>5144</v>
      </c>
      <c r="H1045" s="36">
        <v>2.5999999999999999E-2</v>
      </c>
      <c r="I1045" s="37">
        <v>0.81</v>
      </c>
      <c r="J1045" s="37">
        <v>4166.6400000000003</v>
      </c>
      <c r="K1045" s="35">
        <v>299</v>
      </c>
      <c r="L1045" s="37">
        <v>13.94</v>
      </c>
      <c r="M1045" s="37">
        <v>68061.759999999995</v>
      </c>
      <c r="N1045" s="38">
        <v>16.329999999999998</v>
      </c>
    </row>
    <row r="1046" spans="1:14" x14ac:dyDescent="0.3">
      <c r="A1046" s="33">
        <v>45449</v>
      </c>
      <c r="B1046" s="34" t="s">
        <v>60</v>
      </c>
      <c r="C1046" s="34" t="s">
        <v>75</v>
      </c>
      <c r="D1046" s="34" t="s">
        <v>76</v>
      </c>
      <c r="E1046" s="34" t="s">
        <v>78</v>
      </c>
      <c r="F1046" s="35">
        <v>58266</v>
      </c>
      <c r="G1046" s="35">
        <v>2651</v>
      </c>
      <c r="H1046" s="36">
        <v>4.5499999999999999E-2</v>
      </c>
      <c r="I1046" s="37">
        <v>1.22</v>
      </c>
      <c r="J1046" s="37">
        <v>3234.22</v>
      </c>
      <c r="K1046" s="35">
        <v>103</v>
      </c>
      <c r="L1046" s="37">
        <v>31.4</v>
      </c>
      <c r="M1046" s="37">
        <v>3487.43</v>
      </c>
      <c r="N1046" s="38">
        <v>1.08</v>
      </c>
    </row>
    <row r="1047" spans="1:14" x14ac:dyDescent="0.3">
      <c r="A1047" s="33">
        <v>45536</v>
      </c>
      <c r="B1047" s="34" t="s">
        <v>74</v>
      </c>
      <c r="C1047" s="34" t="s">
        <v>61</v>
      </c>
      <c r="D1047" s="34" t="s">
        <v>76</v>
      </c>
      <c r="E1047" s="34" t="s">
        <v>69</v>
      </c>
      <c r="F1047" s="35">
        <v>98699</v>
      </c>
      <c r="G1047" s="35">
        <v>2171</v>
      </c>
      <c r="H1047" s="36">
        <v>2.1999999999999999E-2</v>
      </c>
      <c r="I1047" s="37">
        <v>2.2200000000000002</v>
      </c>
      <c r="J1047" s="37">
        <v>4819.62</v>
      </c>
      <c r="K1047" s="35">
        <v>92</v>
      </c>
      <c r="L1047" s="37">
        <v>52.39</v>
      </c>
      <c r="M1047" s="37">
        <v>5066.63</v>
      </c>
      <c r="N1047" s="38">
        <v>1.05</v>
      </c>
    </row>
    <row r="1048" spans="1:14" x14ac:dyDescent="0.3">
      <c r="A1048" s="33">
        <v>45309</v>
      </c>
      <c r="B1048" s="34" t="s">
        <v>64</v>
      </c>
      <c r="C1048" s="34" t="s">
        <v>67</v>
      </c>
      <c r="D1048" s="34" t="s">
        <v>65</v>
      </c>
      <c r="E1048" s="34" t="s">
        <v>66</v>
      </c>
      <c r="F1048" s="35">
        <v>172820</v>
      </c>
      <c r="G1048" s="35">
        <v>5512</v>
      </c>
      <c r="H1048" s="36">
        <v>3.1899999999999998E-2</v>
      </c>
      <c r="I1048" s="37">
        <v>1.5</v>
      </c>
      <c r="J1048" s="37">
        <v>8268</v>
      </c>
      <c r="K1048" s="35">
        <v>229</v>
      </c>
      <c r="L1048" s="37">
        <v>36.1</v>
      </c>
      <c r="M1048" s="37">
        <v>38190.22</v>
      </c>
      <c r="N1048" s="38">
        <v>4.62</v>
      </c>
    </row>
    <row r="1049" spans="1:14" x14ac:dyDescent="0.3">
      <c r="A1049" s="33">
        <v>45626</v>
      </c>
      <c r="B1049" s="34" t="s">
        <v>60</v>
      </c>
      <c r="C1049" s="34" t="s">
        <v>70</v>
      </c>
      <c r="D1049" s="34" t="s">
        <v>65</v>
      </c>
      <c r="E1049" s="34" t="s">
        <v>66</v>
      </c>
      <c r="F1049" s="35">
        <v>61902</v>
      </c>
      <c r="G1049" s="35">
        <v>2599</v>
      </c>
      <c r="H1049" s="36">
        <v>4.2000000000000003E-2</v>
      </c>
      <c r="I1049" s="37">
        <v>2.92</v>
      </c>
      <c r="J1049" s="37">
        <v>7589.08</v>
      </c>
      <c r="K1049" s="35">
        <v>160</v>
      </c>
      <c r="L1049" s="37">
        <v>47.43</v>
      </c>
      <c r="M1049" s="37">
        <v>43994.91</v>
      </c>
      <c r="N1049" s="38">
        <v>5.8</v>
      </c>
    </row>
    <row r="1050" spans="1:14" x14ac:dyDescent="0.3">
      <c r="A1050" s="33">
        <v>45493</v>
      </c>
      <c r="B1050" s="34" t="s">
        <v>64</v>
      </c>
      <c r="C1050" s="34" t="s">
        <v>70</v>
      </c>
      <c r="D1050" s="34" t="s">
        <v>65</v>
      </c>
      <c r="E1050" s="34" t="s">
        <v>63</v>
      </c>
      <c r="F1050" s="35">
        <v>148573</v>
      </c>
      <c r="G1050" s="35">
        <v>8706</v>
      </c>
      <c r="H1050" s="36">
        <v>5.8599999999999999E-2</v>
      </c>
      <c r="I1050" s="37">
        <v>1.77</v>
      </c>
      <c r="J1050" s="37">
        <v>15409.62</v>
      </c>
      <c r="K1050" s="35">
        <v>643</v>
      </c>
      <c r="L1050" s="37">
        <v>23.97</v>
      </c>
      <c r="M1050" s="37">
        <v>163989.09</v>
      </c>
      <c r="N1050" s="38">
        <v>10.64</v>
      </c>
    </row>
    <row r="1051" spans="1:14" x14ac:dyDescent="0.3">
      <c r="A1051" s="33">
        <v>45602</v>
      </c>
      <c r="B1051" s="34" t="s">
        <v>74</v>
      </c>
      <c r="C1051" s="34" t="s">
        <v>70</v>
      </c>
      <c r="D1051" s="34" t="s">
        <v>65</v>
      </c>
      <c r="E1051" s="34" t="s">
        <v>72</v>
      </c>
      <c r="F1051" s="35">
        <v>149654</v>
      </c>
      <c r="G1051" s="35">
        <v>6689</v>
      </c>
      <c r="H1051" s="36">
        <v>4.4699999999999997E-2</v>
      </c>
      <c r="I1051" s="37">
        <v>1.29</v>
      </c>
      <c r="J1051" s="37">
        <v>8628.81</v>
      </c>
      <c r="K1051" s="35">
        <v>262</v>
      </c>
      <c r="L1051" s="37">
        <v>32.93</v>
      </c>
      <c r="M1051" s="37">
        <v>10578.46</v>
      </c>
      <c r="N1051" s="38">
        <v>1.23</v>
      </c>
    </row>
    <row r="1052" spans="1:14" x14ac:dyDescent="0.3">
      <c r="A1052" s="33">
        <v>45315</v>
      </c>
      <c r="B1052" s="34" t="s">
        <v>74</v>
      </c>
      <c r="C1052" s="34" t="s">
        <v>61</v>
      </c>
      <c r="D1052" s="34" t="s">
        <v>68</v>
      </c>
      <c r="E1052" s="34" t="s">
        <v>77</v>
      </c>
      <c r="F1052" s="35">
        <v>191478</v>
      </c>
      <c r="G1052" s="35">
        <v>6414</v>
      </c>
      <c r="H1052" s="36">
        <v>3.3500000000000002E-2</v>
      </c>
      <c r="I1052" s="37">
        <v>1.57</v>
      </c>
      <c r="J1052" s="37">
        <v>10069.98</v>
      </c>
      <c r="K1052" s="35">
        <v>236</v>
      </c>
      <c r="L1052" s="37">
        <v>42.67</v>
      </c>
      <c r="M1052" s="37">
        <v>56534.15</v>
      </c>
      <c r="N1052" s="38">
        <v>5.61</v>
      </c>
    </row>
    <row r="1053" spans="1:14" x14ac:dyDescent="0.3">
      <c r="A1053" s="33">
        <v>45413</v>
      </c>
      <c r="B1053" s="34" t="s">
        <v>74</v>
      </c>
      <c r="C1053" s="34" t="s">
        <v>61</v>
      </c>
      <c r="D1053" s="34" t="s">
        <v>76</v>
      </c>
      <c r="E1053" s="34" t="s">
        <v>73</v>
      </c>
      <c r="F1053" s="35">
        <v>7196</v>
      </c>
      <c r="G1053" s="35">
        <v>287</v>
      </c>
      <c r="H1053" s="36">
        <v>0.04</v>
      </c>
      <c r="I1053" s="37">
        <v>2.21</v>
      </c>
      <c r="J1053" s="37">
        <v>634.27</v>
      </c>
      <c r="K1053" s="35">
        <v>10</v>
      </c>
      <c r="L1053" s="37">
        <v>63.43</v>
      </c>
      <c r="M1053" s="37">
        <v>693.26</v>
      </c>
      <c r="N1053" s="38">
        <v>1.0900000000000001</v>
      </c>
    </row>
    <row r="1054" spans="1:14" x14ac:dyDescent="0.3">
      <c r="A1054" s="33">
        <v>45610</v>
      </c>
      <c r="B1054" s="34" t="s">
        <v>60</v>
      </c>
      <c r="C1054" s="34" t="s">
        <v>75</v>
      </c>
      <c r="D1054" s="34" t="s">
        <v>68</v>
      </c>
      <c r="E1054" s="34" t="s">
        <v>77</v>
      </c>
      <c r="F1054" s="35">
        <v>30757</v>
      </c>
      <c r="G1054" s="35">
        <v>1202</v>
      </c>
      <c r="H1054" s="36">
        <v>3.9100000000000003E-2</v>
      </c>
      <c r="I1054" s="37">
        <v>3.26</v>
      </c>
      <c r="J1054" s="37">
        <v>3918.52</v>
      </c>
      <c r="K1054" s="35">
        <v>60</v>
      </c>
      <c r="L1054" s="37">
        <v>65.31</v>
      </c>
      <c r="M1054" s="37">
        <v>5647</v>
      </c>
      <c r="N1054" s="38">
        <v>1.44</v>
      </c>
    </row>
    <row r="1055" spans="1:14" x14ac:dyDescent="0.3">
      <c r="A1055" s="33">
        <v>45393</v>
      </c>
      <c r="B1055" s="34" t="s">
        <v>60</v>
      </c>
      <c r="C1055" s="34" t="s">
        <v>75</v>
      </c>
      <c r="D1055" s="34" t="s">
        <v>68</v>
      </c>
      <c r="E1055" s="34" t="s">
        <v>73</v>
      </c>
      <c r="F1055" s="35">
        <v>17578</v>
      </c>
      <c r="G1055" s="35">
        <v>330</v>
      </c>
      <c r="H1055" s="36">
        <v>1.8800000000000001E-2</v>
      </c>
      <c r="I1055" s="37">
        <v>3.07</v>
      </c>
      <c r="J1055" s="37">
        <v>1013.1</v>
      </c>
      <c r="K1055" s="35">
        <v>20</v>
      </c>
      <c r="L1055" s="37">
        <v>50.66</v>
      </c>
      <c r="M1055" s="37">
        <v>3553.78</v>
      </c>
      <c r="N1055" s="38">
        <v>3.51</v>
      </c>
    </row>
    <row r="1056" spans="1:14" x14ac:dyDescent="0.3">
      <c r="A1056" s="33">
        <v>45324</v>
      </c>
      <c r="B1056" s="34" t="s">
        <v>60</v>
      </c>
      <c r="C1056" s="34" t="s">
        <v>75</v>
      </c>
      <c r="D1056" s="34" t="s">
        <v>76</v>
      </c>
      <c r="E1056" s="34" t="s">
        <v>69</v>
      </c>
      <c r="F1056" s="35">
        <v>65530</v>
      </c>
      <c r="G1056" s="35">
        <v>2018</v>
      </c>
      <c r="H1056" s="36">
        <v>3.0800000000000001E-2</v>
      </c>
      <c r="I1056" s="37">
        <v>2.81</v>
      </c>
      <c r="J1056" s="37">
        <v>5670.58</v>
      </c>
      <c r="K1056" s="35">
        <v>117</v>
      </c>
      <c r="L1056" s="37">
        <v>48.47</v>
      </c>
      <c r="M1056" s="37">
        <v>12114.63</v>
      </c>
      <c r="N1056" s="38">
        <v>2.14</v>
      </c>
    </row>
    <row r="1057" spans="1:14" x14ac:dyDescent="0.3">
      <c r="A1057" s="33">
        <v>45553</v>
      </c>
      <c r="B1057" s="34" t="s">
        <v>64</v>
      </c>
      <c r="C1057" s="34" t="s">
        <v>61</v>
      </c>
      <c r="D1057" s="34" t="s">
        <v>71</v>
      </c>
      <c r="E1057" s="34" t="s">
        <v>66</v>
      </c>
      <c r="F1057" s="35">
        <v>89403</v>
      </c>
      <c r="G1057" s="35">
        <v>5578</v>
      </c>
      <c r="H1057" s="36">
        <v>6.2399999999999997E-2</v>
      </c>
      <c r="I1057" s="37">
        <v>1.48</v>
      </c>
      <c r="J1057" s="37">
        <v>8255.44</v>
      </c>
      <c r="K1057" s="35">
        <v>414</v>
      </c>
      <c r="L1057" s="37">
        <v>19.940000000000001</v>
      </c>
      <c r="M1057" s="37">
        <v>80503.149999999994</v>
      </c>
      <c r="N1057" s="38">
        <v>9.75</v>
      </c>
    </row>
    <row r="1058" spans="1:14" x14ac:dyDescent="0.3">
      <c r="A1058" s="33">
        <v>45452</v>
      </c>
      <c r="B1058" s="34" t="s">
        <v>64</v>
      </c>
      <c r="C1058" s="34" t="s">
        <v>70</v>
      </c>
      <c r="D1058" s="34" t="s">
        <v>76</v>
      </c>
      <c r="E1058" s="34" t="s">
        <v>78</v>
      </c>
      <c r="F1058" s="35">
        <v>161904</v>
      </c>
      <c r="G1058" s="35">
        <v>4339</v>
      </c>
      <c r="H1058" s="36">
        <v>2.6800000000000001E-2</v>
      </c>
      <c r="I1058" s="37">
        <v>1.05</v>
      </c>
      <c r="J1058" s="37">
        <v>4555.95</v>
      </c>
      <c r="K1058" s="35">
        <v>178</v>
      </c>
      <c r="L1058" s="37">
        <v>25.6</v>
      </c>
      <c r="M1058" s="37">
        <v>22405.85</v>
      </c>
      <c r="N1058" s="38">
        <v>4.92</v>
      </c>
    </row>
    <row r="1059" spans="1:14" x14ac:dyDescent="0.3">
      <c r="A1059" s="33">
        <v>45543</v>
      </c>
      <c r="B1059" s="34" t="s">
        <v>74</v>
      </c>
      <c r="C1059" s="34" t="s">
        <v>67</v>
      </c>
      <c r="D1059" s="34" t="s">
        <v>65</v>
      </c>
      <c r="E1059" s="34" t="s">
        <v>73</v>
      </c>
      <c r="F1059" s="35">
        <v>27036</v>
      </c>
      <c r="G1059" s="35">
        <v>708</v>
      </c>
      <c r="H1059" s="36">
        <v>2.6200000000000001E-2</v>
      </c>
      <c r="I1059" s="37">
        <v>1.67</v>
      </c>
      <c r="J1059" s="37">
        <v>1182.3599999999999</v>
      </c>
      <c r="K1059" s="35">
        <v>12</v>
      </c>
      <c r="L1059" s="37">
        <v>98.53</v>
      </c>
      <c r="M1059" s="37">
        <v>1538.26</v>
      </c>
      <c r="N1059" s="38">
        <v>1.3</v>
      </c>
    </row>
    <row r="1060" spans="1:14" x14ac:dyDescent="0.3">
      <c r="A1060" s="33">
        <v>45451</v>
      </c>
      <c r="B1060" s="34" t="s">
        <v>74</v>
      </c>
      <c r="C1060" s="34" t="s">
        <v>70</v>
      </c>
      <c r="D1060" s="34" t="s">
        <v>71</v>
      </c>
      <c r="E1060" s="34" t="s">
        <v>66</v>
      </c>
      <c r="F1060" s="35">
        <v>12712</v>
      </c>
      <c r="G1060" s="35">
        <v>212</v>
      </c>
      <c r="H1060" s="36">
        <v>1.67E-2</v>
      </c>
      <c r="I1060" s="37">
        <v>1.7</v>
      </c>
      <c r="J1060" s="37">
        <v>360.4</v>
      </c>
      <c r="K1060" s="35">
        <v>9</v>
      </c>
      <c r="L1060" s="37">
        <v>40.04</v>
      </c>
      <c r="M1060" s="37">
        <v>375.03</v>
      </c>
      <c r="N1060" s="38">
        <v>1.04</v>
      </c>
    </row>
    <row r="1061" spans="1:14" x14ac:dyDescent="0.3">
      <c r="A1061" s="33">
        <v>45332</v>
      </c>
      <c r="B1061" s="34" t="s">
        <v>60</v>
      </c>
      <c r="C1061" s="34" t="s">
        <v>70</v>
      </c>
      <c r="D1061" s="34" t="s">
        <v>76</v>
      </c>
      <c r="E1061" s="34" t="s">
        <v>63</v>
      </c>
      <c r="F1061" s="35">
        <v>24198</v>
      </c>
      <c r="G1061" s="35">
        <v>1214</v>
      </c>
      <c r="H1061" s="36">
        <v>5.0200000000000002E-2</v>
      </c>
      <c r="I1061" s="37">
        <v>1.35</v>
      </c>
      <c r="J1061" s="37">
        <v>1638.9</v>
      </c>
      <c r="K1061" s="35">
        <v>60</v>
      </c>
      <c r="L1061" s="37">
        <v>27.32</v>
      </c>
      <c r="M1061" s="37">
        <v>11611.94</v>
      </c>
      <c r="N1061" s="38">
        <v>7.09</v>
      </c>
    </row>
    <row r="1062" spans="1:14" x14ac:dyDescent="0.3">
      <c r="A1062" s="33">
        <v>45504</v>
      </c>
      <c r="B1062" s="34" t="s">
        <v>60</v>
      </c>
      <c r="C1062" s="34" t="s">
        <v>75</v>
      </c>
      <c r="D1062" s="34" t="s">
        <v>71</v>
      </c>
      <c r="E1062" s="34" t="s">
        <v>77</v>
      </c>
      <c r="F1062" s="35">
        <v>80324</v>
      </c>
      <c r="G1062" s="35">
        <v>2337</v>
      </c>
      <c r="H1062" s="36">
        <v>2.9100000000000001E-2</v>
      </c>
      <c r="I1062" s="37">
        <v>2.99</v>
      </c>
      <c r="J1062" s="37">
        <v>6987.63</v>
      </c>
      <c r="K1062" s="35">
        <v>50</v>
      </c>
      <c r="L1062" s="37">
        <v>139.75</v>
      </c>
      <c r="M1062" s="37">
        <v>12463.37</v>
      </c>
      <c r="N1062" s="38">
        <v>1.78</v>
      </c>
    </row>
    <row r="1063" spans="1:14" x14ac:dyDescent="0.3">
      <c r="A1063" s="33">
        <v>45404</v>
      </c>
      <c r="B1063" s="34" t="s">
        <v>60</v>
      </c>
      <c r="C1063" s="34" t="s">
        <v>61</v>
      </c>
      <c r="D1063" s="34" t="s">
        <v>71</v>
      </c>
      <c r="E1063" s="34" t="s">
        <v>72</v>
      </c>
      <c r="F1063" s="35">
        <v>160525</v>
      </c>
      <c r="G1063" s="35">
        <v>6003</v>
      </c>
      <c r="H1063" s="36">
        <v>3.7400000000000003E-2</v>
      </c>
      <c r="I1063" s="37">
        <v>1.67</v>
      </c>
      <c r="J1063" s="37">
        <v>10025.01</v>
      </c>
      <c r="K1063" s="35">
        <v>106</v>
      </c>
      <c r="L1063" s="37">
        <v>94.58</v>
      </c>
      <c r="M1063" s="37">
        <v>12306.27</v>
      </c>
      <c r="N1063" s="38">
        <v>1.23</v>
      </c>
    </row>
    <row r="1064" spans="1:14" x14ac:dyDescent="0.3">
      <c r="A1064" s="33">
        <v>45349</v>
      </c>
      <c r="B1064" s="34" t="s">
        <v>60</v>
      </c>
      <c r="C1064" s="34" t="s">
        <v>75</v>
      </c>
      <c r="D1064" s="34" t="s">
        <v>62</v>
      </c>
      <c r="E1064" s="34" t="s">
        <v>72</v>
      </c>
      <c r="F1064" s="35">
        <v>104821</v>
      </c>
      <c r="G1064" s="35">
        <v>4224</v>
      </c>
      <c r="H1064" s="36">
        <v>4.0300000000000002E-2</v>
      </c>
      <c r="I1064" s="37">
        <v>1.36</v>
      </c>
      <c r="J1064" s="37">
        <v>5744.64</v>
      </c>
      <c r="K1064" s="35">
        <v>307</v>
      </c>
      <c r="L1064" s="37">
        <v>18.71</v>
      </c>
      <c r="M1064" s="37">
        <v>89314.07</v>
      </c>
      <c r="N1064" s="38">
        <v>15.55</v>
      </c>
    </row>
    <row r="1065" spans="1:14" x14ac:dyDescent="0.3">
      <c r="A1065" s="33">
        <v>45568</v>
      </c>
      <c r="B1065" s="34" t="s">
        <v>60</v>
      </c>
      <c r="C1065" s="34" t="s">
        <v>67</v>
      </c>
      <c r="D1065" s="34" t="s">
        <v>68</v>
      </c>
      <c r="E1065" s="34" t="s">
        <v>77</v>
      </c>
      <c r="F1065" s="35">
        <v>48118</v>
      </c>
      <c r="G1065" s="35">
        <v>1616</v>
      </c>
      <c r="H1065" s="36">
        <v>3.3599999999999998E-2</v>
      </c>
      <c r="I1065" s="37">
        <v>3.66</v>
      </c>
      <c r="J1065" s="37">
        <v>5914.56</v>
      </c>
      <c r="K1065" s="35">
        <v>129</v>
      </c>
      <c r="L1065" s="37">
        <v>45.85</v>
      </c>
      <c r="M1065" s="37">
        <v>28604.240000000002</v>
      </c>
      <c r="N1065" s="38">
        <v>4.84</v>
      </c>
    </row>
    <row r="1066" spans="1:14" x14ac:dyDescent="0.3">
      <c r="A1066" s="33">
        <v>45328</v>
      </c>
      <c r="B1066" s="34" t="s">
        <v>64</v>
      </c>
      <c r="C1066" s="34" t="s">
        <v>75</v>
      </c>
      <c r="D1066" s="34" t="s">
        <v>71</v>
      </c>
      <c r="E1066" s="34" t="s">
        <v>78</v>
      </c>
      <c r="F1066" s="35">
        <v>53709</v>
      </c>
      <c r="G1066" s="35">
        <v>2868</v>
      </c>
      <c r="H1066" s="36">
        <v>5.3400000000000003E-2</v>
      </c>
      <c r="I1066" s="37">
        <v>0.89</v>
      </c>
      <c r="J1066" s="37">
        <v>2552.52</v>
      </c>
      <c r="K1066" s="35">
        <v>222</v>
      </c>
      <c r="L1066" s="37">
        <v>11.5</v>
      </c>
      <c r="M1066" s="37">
        <v>47503.54</v>
      </c>
      <c r="N1066" s="38">
        <v>18.61</v>
      </c>
    </row>
    <row r="1067" spans="1:14" x14ac:dyDescent="0.3">
      <c r="A1067" s="33">
        <v>45336</v>
      </c>
      <c r="B1067" s="34" t="s">
        <v>60</v>
      </c>
      <c r="C1067" s="34" t="s">
        <v>75</v>
      </c>
      <c r="D1067" s="34" t="s">
        <v>68</v>
      </c>
      <c r="E1067" s="34" t="s">
        <v>66</v>
      </c>
      <c r="F1067" s="35">
        <v>25497</v>
      </c>
      <c r="G1067" s="35">
        <v>1142</v>
      </c>
      <c r="H1067" s="36">
        <v>4.48E-2</v>
      </c>
      <c r="I1067" s="37">
        <v>1.84</v>
      </c>
      <c r="J1067" s="37">
        <v>2101.2800000000002</v>
      </c>
      <c r="K1067" s="35">
        <v>75</v>
      </c>
      <c r="L1067" s="37">
        <v>28.02</v>
      </c>
      <c r="M1067" s="37">
        <v>18551.009999999998</v>
      </c>
      <c r="N1067" s="38">
        <v>8.83</v>
      </c>
    </row>
    <row r="1068" spans="1:14" x14ac:dyDescent="0.3">
      <c r="A1068" s="33">
        <v>45530</v>
      </c>
      <c r="B1068" s="34" t="s">
        <v>64</v>
      </c>
      <c r="C1068" s="34" t="s">
        <v>75</v>
      </c>
      <c r="D1068" s="34" t="s">
        <v>62</v>
      </c>
      <c r="E1068" s="34" t="s">
        <v>63</v>
      </c>
      <c r="F1068" s="35">
        <v>178782</v>
      </c>
      <c r="G1068" s="35">
        <v>7705</v>
      </c>
      <c r="H1068" s="36">
        <v>4.3099999999999999E-2</v>
      </c>
      <c r="I1068" s="37">
        <v>1.28</v>
      </c>
      <c r="J1068" s="37">
        <v>9862.4</v>
      </c>
      <c r="K1068" s="35">
        <v>352</v>
      </c>
      <c r="L1068" s="37">
        <v>28.02</v>
      </c>
      <c r="M1068" s="37">
        <v>30909.61</v>
      </c>
      <c r="N1068" s="38">
        <v>3.13</v>
      </c>
    </row>
    <row r="1069" spans="1:14" x14ac:dyDescent="0.3">
      <c r="A1069" s="33">
        <v>45415</v>
      </c>
      <c r="B1069" s="34" t="s">
        <v>74</v>
      </c>
      <c r="C1069" s="34" t="s">
        <v>67</v>
      </c>
      <c r="D1069" s="34" t="s">
        <v>68</v>
      </c>
      <c r="E1069" s="34" t="s">
        <v>77</v>
      </c>
      <c r="F1069" s="35">
        <v>189221</v>
      </c>
      <c r="G1069" s="35">
        <v>7587</v>
      </c>
      <c r="H1069" s="36">
        <v>4.0099999999999997E-2</v>
      </c>
      <c r="I1069" s="37">
        <v>0.91</v>
      </c>
      <c r="J1069" s="37">
        <v>6904.17</v>
      </c>
      <c r="K1069" s="35">
        <v>80</v>
      </c>
      <c r="L1069" s="37">
        <v>86.3</v>
      </c>
      <c r="M1069" s="37">
        <v>2769.22</v>
      </c>
      <c r="N1069" s="38">
        <v>0.4</v>
      </c>
    </row>
    <row r="1070" spans="1:14" x14ac:dyDescent="0.3">
      <c r="A1070" s="33">
        <v>45652</v>
      </c>
      <c r="B1070" s="34" t="s">
        <v>74</v>
      </c>
      <c r="C1070" s="34" t="s">
        <v>61</v>
      </c>
      <c r="D1070" s="34" t="s">
        <v>62</v>
      </c>
      <c r="E1070" s="34" t="s">
        <v>72</v>
      </c>
      <c r="F1070" s="35">
        <v>138704</v>
      </c>
      <c r="G1070" s="35">
        <v>1803</v>
      </c>
      <c r="H1070" s="36">
        <v>1.2999999999999999E-2</v>
      </c>
      <c r="I1070" s="37">
        <v>0.86</v>
      </c>
      <c r="J1070" s="37">
        <v>1550.58</v>
      </c>
      <c r="K1070" s="35">
        <v>119</v>
      </c>
      <c r="L1070" s="37">
        <v>13.03</v>
      </c>
      <c r="M1070" s="37">
        <v>10297.42</v>
      </c>
      <c r="N1070" s="38">
        <v>6.64</v>
      </c>
    </row>
    <row r="1071" spans="1:14" x14ac:dyDescent="0.3">
      <c r="A1071" s="33">
        <v>45573</v>
      </c>
      <c r="B1071" s="34" t="s">
        <v>60</v>
      </c>
      <c r="C1071" s="34" t="s">
        <v>67</v>
      </c>
      <c r="D1071" s="34" t="s">
        <v>65</v>
      </c>
      <c r="E1071" s="34" t="s">
        <v>66</v>
      </c>
      <c r="F1071" s="35">
        <v>120475</v>
      </c>
      <c r="G1071" s="35">
        <v>7794</v>
      </c>
      <c r="H1071" s="36">
        <v>6.4699999999999994E-2</v>
      </c>
      <c r="I1071" s="37">
        <v>0.78</v>
      </c>
      <c r="J1071" s="37">
        <v>6079.32</v>
      </c>
      <c r="K1071" s="35">
        <v>530</v>
      </c>
      <c r="L1071" s="37">
        <v>11.47</v>
      </c>
      <c r="M1071" s="37">
        <v>143639.1</v>
      </c>
      <c r="N1071" s="38">
        <v>23.63</v>
      </c>
    </row>
    <row r="1072" spans="1:14" x14ac:dyDescent="0.3">
      <c r="A1072" s="33">
        <v>45523</v>
      </c>
      <c r="B1072" s="34" t="s">
        <v>60</v>
      </c>
      <c r="C1072" s="34" t="s">
        <v>70</v>
      </c>
      <c r="D1072" s="34" t="s">
        <v>68</v>
      </c>
      <c r="E1072" s="34" t="s">
        <v>72</v>
      </c>
      <c r="F1072" s="35">
        <v>125019</v>
      </c>
      <c r="G1072" s="35">
        <v>8251</v>
      </c>
      <c r="H1072" s="36">
        <v>6.6000000000000003E-2</v>
      </c>
      <c r="I1072" s="37">
        <v>3.77</v>
      </c>
      <c r="J1072" s="37">
        <v>31106.27</v>
      </c>
      <c r="K1072" s="35">
        <v>609</v>
      </c>
      <c r="L1072" s="37">
        <v>51.08</v>
      </c>
      <c r="M1072" s="37">
        <v>135443.82</v>
      </c>
      <c r="N1072" s="38">
        <v>4.3499999999999996</v>
      </c>
    </row>
    <row r="1073" spans="1:14" x14ac:dyDescent="0.3">
      <c r="A1073" s="33">
        <v>45637</v>
      </c>
      <c r="B1073" s="34" t="s">
        <v>74</v>
      </c>
      <c r="C1073" s="34" t="s">
        <v>61</v>
      </c>
      <c r="D1073" s="34" t="s">
        <v>65</v>
      </c>
      <c r="E1073" s="34" t="s">
        <v>69</v>
      </c>
      <c r="F1073" s="35">
        <v>198775</v>
      </c>
      <c r="G1073" s="35">
        <v>3637</v>
      </c>
      <c r="H1073" s="36">
        <v>1.83E-2</v>
      </c>
      <c r="I1073" s="37">
        <v>1.99</v>
      </c>
      <c r="J1073" s="37">
        <v>7237.63</v>
      </c>
      <c r="K1073" s="35">
        <v>235</v>
      </c>
      <c r="L1073" s="37">
        <v>30.8</v>
      </c>
      <c r="M1073" s="37">
        <v>18520.23</v>
      </c>
      <c r="N1073" s="38">
        <v>2.56</v>
      </c>
    </row>
    <row r="1074" spans="1:14" x14ac:dyDescent="0.3">
      <c r="A1074" s="33">
        <v>45296</v>
      </c>
      <c r="B1074" s="34" t="s">
        <v>64</v>
      </c>
      <c r="C1074" s="34" t="s">
        <v>67</v>
      </c>
      <c r="D1074" s="34" t="s">
        <v>65</v>
      </c>
      <c r="E1074" s="34" t="s">
        <v>78</v>
      </c>
      <c r="F1074" s="35">
        <v>52059</v>
      </c>
      <c r="G1074" s="35">
        <v>2956</v>
      </c>
      <c r="H1074" s="36">
        <v>5.6800000000000003E-2</v>
      </c>
      <c r="I1074" s="37">
        <v>0.56999999999999995</v>
      </c>
      <c r="J1074" s="37">
        <v>1684.92</v>
      </c>
      <c r="K1074" s="35">
        <v>29</v>
      </c>
      <c r="L1074" s="37">
        <v>58.1</v>
      </c>
      <c r="M1074" s="37">
        <v>5633.14</v>
      </c>
      <c r="N1074" s="38">
        <v>3.34</v>
      </c>
    </row>
    <row r="1075" spans="1:14" x14ac:dyDescent="0.3">
      <c r="A1075" s="33">
        <v>45443</v>
      </c>
      <c r="B1075" s="34" t="s">
        <v>60</v>
      </c>
      <c r="C1075" s="34" t="s">
        <v>75</v>
      </c>
      <c r="D1075" s="34" t="s">
        <v>71</v>
      </c>
      <c r="E1075" s="34" t="s">
        <v>69</v>
      </c>
      <c r="F1075" s="35">
        <v>183373</v>
      </c>
      <c r="G1075" s="35">
        <v>7169</v>
      </c>
      <c r="H1075" s="36">
        <v>3.9100000000000003E-2</v>
      </c>
      <c r="I1075" s="37">
        <v>1.55</v>
      </c>
      <c r="J1075" s="37">
        <v>11111.95</v>
      </c>
      <c r="K1075" s="35">
        <v>342</v>
      </c>
      <c r="L1075" s="37">
        <v>32.49</v>
      </c>
      <c r="M1075" s="37">
        <v>18314.28</v>
      </c>
      <c r="N1075" s="38">
        <v>1.65</v>
      </c>
    </row>
    <row r="1076" spans="1:14" x14ac:dyDescent="0.3">
      <c r="A1076" s="33">
        <v>45548</v>
      </c>
      <c r="B1076" s="34" t="s">
        <v>74</v>
      </c>
      <c r="C1076" s="34" t="s">
        <v>61</v>
      </c>
      <c r="D1076" s="34" t="s">
        <v>76</v>
      </c>
      <c r="E1076" s="34" t="s">
        <v>69</v>
      </c>
      <c r="F1076" s="35">
        <v>114844</v>
      </c>
      <c r="G1076" s="35">
        <v>3307</v>
      </c>
      <c r="H1076" s="36">
        <v>2.8799999999999999E-2</v>
      </c>
      <c r="I1076" s="37">
        <v>2.1</v>
      </c>
      <c r="J1076" s="37">
        <v>6944.7</v>
      </c>
      <c r="K1076" s="35">
        <v>123</v>
      </c>
      <c r="L1076" s="37">
        <v>56.46</v>
      </c>
      <c r="M1076" s="37">
        <v>36552.89</v>
      </c>
      <c r="N1076" s="38">
        <v>5.26</v>
      </c>
    </row>
    <row r="1077" spans="1:14" x14ac:dyDescent="0.3">
      <c r="A1077" s="33">
        <v>45531</v>
      </c>
      <c r="B1077" s="34" t="s">
        <v>74</v>
      </c>
      <c r="C1077" s="34" t="s">
        <v>61</v>
      </c>
      <c r="D1077" s="34" t="s">
        <v>76</v>
      </c>
      <c r="E1077" s="34" t="s">
        <v>69</v>
      </c>
      <c r="F1077" s="35">
        <v>53865</v>
      </c>
      <c r="G1077" s="35">
        <v>1098</v>
      </c>
      <c r="H1077" s="36">
        <v>2.0400000000000001E-2</v>
      </c>
      <c r="I1077" s="37">
        <v>1.28</v>
      </c>
      <c r="J1077" s="37">
        <v>1405.44</v>
      </c>
      <c r="K1077" s="35">
        <v>67</v>
      </c>
      <c r="L1077" s="37">
        <v>20.98</v>
      </c>
      <c r="M1077" s="37">
        <v>2545.35</v>
      </c>
      <c r="N1077" s="38">
        <v>1.81</v>
      </c>
    </row>
    <row r="1078" spans="1:14" x14ac:dyDescent="0.3">
      <c r="A1078" s="33">
        <v>45298</v>
      </c>
      <c r="B1078" s="34" t="s">
        <v>60</v>
      </c>
      <c r="C1078" s="34" t="s">
        <v>67</v>
      </c>
      <c r="D1078" s="34" t="s">
        <v>76</v>
      </c>
      <c r="E1078" s="34" t="s">
        <v>72</v>
      </c>
      <c r="F1078" s="35">
        <v>25080</v>
      </c>
      <c r="G1078" s="35">
        <v>1113</v>
      </c>
      <c r="H1078" s="36">
        <v>4.4400000000000002E-2</v>
      </c>
      <c r="I1078" s="37">
        <v>2.62</v>
      </c>
      <c r="J1078" s="37">
        <v>2916.06</v>
      </c>
      <c r="K1078" s="35">
        <v>49</v>
      </c>
      <c r="L1078" s="37">
        <v>59.51</v>
      </c>
      <c r="M1078" s="37">
        <v>2232.61</v>
      </c>
      <c r="N1078" s="38">
        <v>0.77</v>
      </c>
    </row>
    <row r="1079" spans="1:14" x14ac:dyDescent="0.3">
      <c r="A1079" s="33">
        <v>45485</v>
      </c>
      <c r="B1079" s="34" t="s">
        <v>64</v>
      </c>
      <c r="C1079" s="34" t="s">
        <v>61</v>
      </c>
      <c r="D1079" s="34" t="s">
        <v>76</v>
      </c>
      <c r="E1079" s="34" t="s">
        <v>77</v>
      </c>
      <c r="F1079" s="35">
        <v>95853</v>
      </c>
      <c r="G1079" s="35">
        <v>4658</v>
      </c>
      <c r="H1079" s="36">
        <v>4.8599999999999997E-2</v>
      </c>
      <c r="I1079" s="37">
        <v>0.31</v>
      </c>
      <c r="J1079" s="37">
        <v>1443.98</v>
      </c>
      <c r="K1079" s="35">
        <v>92</v>
      </c>
      <c r="L1079" s="37">
        <v>15.7</v>
      </c>
      <c r="M1079" s="37">
        <v>27317.08</v>
      </c>
      <c r="N1079" s="38">
        <v>18.920000000000002</v>
      </c>
    </row>
    <row r="1080" spans="1:14" x14ac:dyDescent="0.3">
      <c r="A1080" s="33">
        <v>45438</v>
      </c>
      <c r="B1080" s="34" t="s">
        <v>60</v>
      </c>
      <c r="C1080" s="34" t="s">
        <v>67</v>
      </c>
      <c r="D1080" s="34" t="s">
        <v>71</v>
      </c>
      <c r="E1080" s="34" t="s">
        <v>73</v>
      </c>
      <c r="F1080" s="35">
        <v>27593</v>
      </c>
      <c r="G1080" s="35">
        <v>896</v>
      </c>
      <c r="H1080" s="36">
        <v>3.2500000000000001E-2</v>
      </c>
      <c r="I1080" s="37">
        <v>2.39</v>
      </c>
      <c r="J1080" s="37">
        <v>2141.44</v>
      </c>
      <c r="K1080" s="35">
        <v>48</v>
      </c>
      <c r="L1080" s="37">
        <v>44.61</v>
      </c>
      <c r="M1080" s="37">
        <v>8087.57</v>
      </c>
      <c r="N1080" s="38">
        <v>3.78</v>
      </c>
    </row>
    <row r="1081" spans="1:14" x14ac:dyDescent="0.3">
      <c r="A1081" s="33">
        <v>45546</v>
      </c>
      <c r="B1081" s="34" t="s">
        <v>74</v>
      </c>
      <c r="C1081" s="34" t="s">
        <v>67</v>
      </c>
      <c r="D1081" s="34" t="s">
        <v>65</v>
      </c>
      <c r="E1081" s="34" t="s">
        <v>69</v>
      </c>
      <c r="F1081" s="35">
        <v>34949</v>
      </c>
      <c r="G1081" s="35">
        <v>1324</v>
      </c>
      <c r="H1081" s="36">
        <v>3.7900000000000003E-2</v>
      </c>
      <c r="I1081" s="37">
        <v>1.79</v>
      </c>
      <c r="J1081" s="37">
        <v>2369.96</v>
      </c>
      <c r="K1081" s="35">
        <v>86</v>
      </c>
      <c r="L1081" s="37">
        <v>27.56</v>
      </c>
      <c r="M1081" s="37">
        <v>9084.2199999999993</v>
      </c>
      <c r="N1081" s="38">
        <v>3.83</v>
      </c>
    </row>
    <row r="1082" spans="1:14" x14ac:dyDescent="0.3">
      <c r="A1082" s="33">
        <v>45429</v>
      </c>
      <c r="B1082" s="34" t="s">
        <v>64</v>
      </c>
      <c r="C1082" s="34" t="s">
        <v>70</v>
      </c>
      <c r="D1082" s="34" t="s">
        <v>76</v>
      </c>
      <c r="E1082" s="34" t="s">
        <v>69</v>
      </c>
      <c r="F1082" s="35">
        <v>72986</v>
      </c>
      <c r="G1082" s="35">
        <v>3379</v>
      </c>
      <c r="H1082" s="36">
        <v>4.6300000000000001E-2</v>
      </c>
      <c r="I1082" s="37">
        <v>1.77</v>
      </c>
      <c r="J1082" s="37">
        <v>5980.83</v>
      </c>
      <c r="K1082" s="35">
        <v>188</v>
      </c>
      <c r="L1082" s="37">
        <v>31.81</v>
      </c>
      <c r="M1082" s="37">
        <v>17387.72</v>
      </c>
      <c r="N1082" s="38">
        <v>2.91</v>
      </c>
    </row>
    <row r="1083" spans="1:14" x14ac:dyDescent="0.3">
      <c r="A1083" s="33">
        <v>45324</v>
      </c>
      <c r="B1083" s="34" t="s">
        <v>60</v>
      </c>
      <c r="C1083" s="34" t="s">
        <v>70</v>
      </c>
      <c r="D1083" s="34" t="s">
        <v>68</v>
      </c>
      <c r="E1083" s="34" t="s">
        <v>63</v>
      </c>
      <c r="F1083" s="35">
        <v>149848</v>
      </c>
      <c r="G1083" s="35">
        <v>9290</v>
      </c>
      <c r="H1083" s="36">
        <v>6.2E-2</v>
      </c>
      <c r="I1083" s="37">
        <v>1.97</v>
      </c>
      <c r="J1083" s="37">
        <v>18301.3</v>
      </c>
      <c r="K1083" s="35">
        <v>537</v>
      </c>
      <c r="L1083" s="37">
        <v>34.08</v>
      </c>
      <c r="M1083" s="37">
        <v>106414.01</v>
      </c>
      <c r="N1083" s="38">
        <v>5.81</v>
      </c>
    </row>
    <row r="1084" spans="1:14" x14ac:dyDescent="0.3">
      <c r="A1084" s="33">
        <v>45538</v>
      </c>
      <c r="B1084" s="34" t="s">
        <v>60</v>
      </c>
      <c r="C1084" s="34" t="s">
        <v>67</v>
      </c>
      <c r="D1084" s="34" t="s">
        <v>71</v>
      </c>
      <c r="E1084" s="34" t="s">
        <v>78</v>
      </c>
      <c r="F1084" s="35">
        <v>143235</v>
      </c>
      <c r="G1084" s="35">
        <v>3981</v>
      </c>
      <c r="H1084" s="36">
        <v>2.7799999999999998E-2</v>
      </c>
      <c r="I1084" s="37">
        <v>1.83</v>
      </c>
      <c r="J1084" s="37">
        <v>7285.23</v>
      </c>
      <c r="K1084" s="35">
        <v>125</v>
      </c>
      <c r="L1084" s="37">
        <v>58.28</v>
      </c>
      <c r="M1084" s="37">
        <v>27104.75</v>
      </c>
      <c r="N1084" s="38">
        <v>3.72</v>
      </c>
    </row>
    <row r="1085" spans="1:14" x14ac:dyDescent="0.3">
      <c r="A1085" s="33">
        <v>45333</v>
      </c>
      <c r="B1085" s="34" t="s">
        <v>64</v>
      </c>
      <c r="C1085" s="34" t="s">
        <v>67</v>
      </c>
      <c r="D1085" s="34" t="s">
        <v>65</v>
      </c>
      <c r="E1085" s="34" t="s">
        <v>77</v>
      </c>
      <c r="F1085" s="35">
        <v>157625</v>
      </c>
      <c r="G1085" s="35">
        <v>9457</v>
      </c>
      <c r="H1085" s="36">
        <v>0.06</v>
      </c>
      <c r="I1085" s="37">
        <v>0.48</v>
      </c>
      <c r="J1085" s="37">
        <v>4539.3599999999997</v>
      </c>
      <c r="K1085" s="35">
        <v>534</v>
      </c>
      <c r="L1085" s="37">
        <v>8.5</v>
      </c>
      <c r="M1085" s="37">
        <v>147520.79999999999</v>
      </c>
      <c r="N1085" s="38">
        <v>32.5</v>
      </c>
    </row>
    <row r="1086" spans="1:14" x14ac:dyDescent="0.3">
      <c r="A1086" s="33">
        <v>45624</v>
      </c>
      <c r="B1086" s="34" t="s">
        <v>74</v>
      </c>
      <c r="C1086" s="34" t="s">
        <v>61</v>
      </c>
      <c r="D1086" s="34" t="s">
        <v>62</v>
      </c>
      <c r="E1086" s="34" t="s">
        <v>77</v>
      </c>
      <c r="F1086" s="35">
        <v>172816</v>
      </c>
      <c r="G1086" s="35">
        <v>3819</v>
      </c>
      <c r="H1086" s="36">
        <v>2.2100000000000002E-2</v>
      </c>
      <c r="I1086" s="37">
        <v>2.14</v>
      </c>
      <c r="J1086" s="37">
        <v>8172.66</v>
      </c>
      <c r="K1086" s="35">
        <v>193</v>
      </c>
      <c r="L1086" s="37">
        <v>42.35</v>
      </c>
      <c r="M1086" s="37">
        <v>41926.28</v>
      </c>
      <c r="N1086" s="38">
        <v>5.13</v>
      </c>
    </row>
    <row r="1087" spans="1:14" x14ac:dyDescent="0.3">
      <c r="A1087" s="33">
        <v>45640</v>
      </c>
      <c r="B1087" s="34" t="s">
        <v>64</v>
      </c>
      <c r="C1087" s="34" t="s">
        <v>67</v>
      </c>
      <c r="D1087" s="34" t="s">
        <v>76</v>
      </c>
      <c r="E1087" s="34" t="s">
        <v>66</v>
      </c>
      <c r="F1087" s="35">
        <v>56529</v>
      </c>
      <c r="G1087" s="35">
        <v>4494</v>
      </c>
      <c r="H1087" s="36">
        <v>7.9500000000000001E-2</v>
      </c>
      <c r="I1087" s="37">
        <v>1.51</v>
      </c>
      <c r="J1087" s="37">
        <v>6785.94</v>
      </c>
      <c r="K1087" s="35">
        <v>104</v>
      </c>
      <c r="L1087" s="37">
        <v>65.25</v>
      </c>
      <c r="M1087" s="37">
        <v>9525.68</v>
      </c>
      <c r="N1087" s="38">
        <v>1.4</v>
      </c>
    </row>
    <row r="1088" spans="1:14" x14ac:dyDescent="0.3">
      <c r="A1088" s="33">
        <v>45395</v>
      </c>
      <c r="B1088" s="34" t="s">
        <v>64</v>
      </c>
      <c r="C1088" s="34" t="s">
        <v>70</v>
      </c>
      <c r="D1088" s="34" t="s">
        <v>65</v>
      </c>
      <c r="E1088" s="34" t="s">
        <v>69</v>
      </c>
      <c r="F1088" s="35">
        <v>176030</v>
      </c>
      <c r="G1088" s="35">
        <v>13079</v>
      </c>
      <c r="H1088" s="36">
        <v>7.4300000000000005E-2</v>
      </c>
      <c r="I1088" s="37">
        <v>1.51</v>
      </c>
      <c r="J1088" s="37">
        <v>19749.29</v>
      </c>
      <c r="K1088" s="35">
        <v>200</v>
      </c>
      <c r="L1088" s="37">
        <v>98.75</v>
      </c>
      <c r="M1088" s="37">
        <v>41247.07</v>
      </c>
      <c r="N1088" s="38">
        <v>2.09</v>
      </c>
    </row>
    <row r="1089" spans="1:14" x14ac:dyDescent="0.3">
      <c r="A1089" s="33">
        <v>45599</v>
      </c>
      <c r="B1089" s="34" t="s">
        <v>74</v>
      </c>
      <c r="C1089" s="34" t="s">
        <v>61</v>
      </c>
      <c r="D1089" s="34" t="s">
        <v>71</v>
      </c>
      <c r="E1089" s="34" t="s">
        <v>73</v>
      </c>
      <c r="F1089" s="35">
        <v>128355</v>
      </c>
      <c r="G1089" s="35">
        <v>1758</v>
      </c>
      <c r="H1089" s="36">
        <v>1.37E-2</v>
      </c>
      <c r="I1089" s="37">
        <v>1.86</v>
      </c>
      <c r="J1089" s="37">
        <v>3269.88</v>
      </c>
      <c r="K1089" s="35">
        <v>122</v>
      </c>
      <c r="L1089" s="37">
        <v>26.8</v>
      </c>
      <c r="M1089" s="37">
        <v>6205.33</v>
      </c>
      <c r="N1089" s="38">
        <v>1.9</v>
      </c>
    </row>
    <row r="1090" spans="1:14" x14ac:dyDescent="0.3">
      <c r="A1090" s="33">
        <v>45560</v>
      </c>
      <c r="B1090" s="34" t="s">
        <v>60</v>
      </c>
      <c r="C1090" s="34" t="s">
        <v>67</v>
      </c>
      <c r="D1090" s="34" t="s">
        <v>62</v>
      </c>
      <c r="E1090" s="34" t="s">
        <v>69</v>
      </c>
      <c r="F1090" s="35">
        <v>14096</v>
      </c>
      <c r="G1090" s="35">
        <v>476</v>
      </c>
      <c r="H1090" s="36">
        <v>3.3799999999999997E-2</v>
      </c>
      <c r="I1090" s="37">
        <v>1.29</v>
      </c>
      <c r="J1090" s="37">
        <v>614.04</v>
      </c>
      <c r="K1090" s="35">
        <v>34</v>
      </c>
      <c r="L1090" s="37">
        <v>18.059999999999999</v>
      </c>
      <c r="M1090" s="37">
        <v>3175.83</v>
      </c>
      <c r="N1090" s="38">
        <v>5.17</v>
      </c>
    </row>
    <row r="1091" spans="1:14" x14ac:dyDescent="0.3">
      <c r="A1091" s="33">
        <v>45384</v>
      </c>
      <c r="B1091" s="34" t="s">
        <v>60</v>
      </c>
      <c r="C1091" s="34" t="s">
        <v>67</v>
      </c>
      <c r="D1091" s="34" t="s">
        <v>71</v>
      </c>
      <c r="E1091" s="34" t="s">
        <v>69</v>
      </c>
      <c r="F1091" s="35">
        <v>31855</v>
      </c>
      <c r="G1091" s="35">
        <v>1411</v>
      </c>
      <c r="H1091" s="36">
        <v>4.4299999999999999E-2</v>
      </c>
      <c r="I1091" s="37">
        <v>1.7</v>
      </c>
      <c r="J1091" s="37">
        <v>2398.6999999999998</v>
      </c>
      <c r="K1091" s="35">
        <v>60</v>
      </c>
      <c r="L1091" s="37">
        <v>39.979999999999997</v>
      </c>
      <c r="M1091" s="37">
        <v>3201.45</v>
      </c>
      <c r="N1091" s="38">
        <v>1.33</v>
      </c>
    </row>
    <row r="1092" spans="1:14" x14ac:dyDescent="0.3">
      <c r="A1092" s="33">
        <v>45341</v>
      </c>
      <c r="B1092" s="34" t="s">
        <v>60</v>
      </c>
      <c r="C1092" s="34" t="s">
        <v>61</v>
      </c>
      <c r="D1092" s="34" t="s">
        <v>65</v>
      </c>
      <c r="E1092" s="34" t="s">
        <v>63</v>
      </c>
      <c r="F1092" s="35">
        <v>95218</v>
      </c>
      <c r="G1092" s="35">
        <v>2199</v>
      </c>
      <c r="H1092" s="36">
        <v>2.3099999999999999E-2</v>
      </c>
      <c r="I1092" s="37">
        <v>2.39</v>
      </c>
      <c r="J1092" s="37">
        <v>5255.61</v>
      </c>
      <c r="K1092" s="35">
        <v>103</v>
      </c>
      <c r="L1092" s="37">
        <v>51.03</v>
      </c>
      <c r="M1092" s="37">
        <v>17399.72</v>
      </c>
      <c r="N1092" s="38">
        <v>3.31</v>
      </c>
    </row>
    <row r="1093" spans="1:14" x14ac:dyDescent="0.3">
      <c r="A1093" s="33">
        <v>45328</v>
      </c>
      <c r="B1093" s="34" t="s">
        <v>60</v>
      </c>
      <c r="C1093" s="34" t="s">
        <v>70</v>
      </c>
      <c r="D1093" s="34" t="s">
        <v>76</v>
      </c>
      <c r="E1093" s="34" t="s">
        <v>72</v>
      </c>
      <c r="F1093" s="35">
        <v>102409</v>
      </c>
      <c r="G1093" s="35">
        <v>3389</v>
      </c>
      <c r="H1093" s="36">
        <v>3.3099999999999997E-2</v>
      </c>
      <c r="I1093" s="37">
        <v>3.58</v>
      </c>
      <c r="J1093" s="37">
        <v>12132.62</v>
      </c>
      <c r="K1093" s="35">
        <v>149</v>
      </c>
      <c r="L1093" s="37">
        <v>81.430000000000007</v>
      </c>
      <c r="M1093" s="37">
        <v>31253.87</v>
      </c>
      <c r="N1093" s="38">
        <v>2.58</v>
      </c>
    </row>
    <row r="1094" spans="1:14" x14ac:dyDescent="0.3">
      <c r="A1094" s="33">
        <v>45547</v>
      </c>
      <c r="B1094" s="34" t="s">
        <v>60</v>
      </c>
      <c r="C1094" s="34" t="s">
        <v>61</v>
      </c>
      <c r="D1094" s="34" t="s">
        <v>76</v>
      </c>
      <c r="E1094" s="34" t="s">
        <v>77</v>
      </c>
      <c r="F1094" s="35">
        <v>31049</v>
      </c>
      <c r="G1094" s="35">
        <v>1021</v>
      </c>
      <c r="H1094" s="36">
        <v>3.2899999999999999E-2</v>
      </c>
      <c r="I1094" s="37">
        <v>3.31</v>
      </c>
      <c r="J1094" s="37">
        <v>3379.51</v>
      </c>
      <c r="K1094" s="35">
        <v>31</v>
      </c>
      <c r="L1094" s="37">
        <v>109.02</v>
      </c>
      <c r="M1094" s="37">
        <v>7117.65</v>
      </c>
      <c r="N1094" s="38">
        <v>2.11</v>
      </c>
    </row>
    <row r="1095" spans="1:14" x14ac:dyDescent="0.3">
      <c r="A1095" s="33">
        <v>45554</v>
      </c>
      <c r="B1095" s="34" t="s">
        <v>64</v>
      </c>
      <c r="C1095" s="34" t="s">
        <v>61</v>
      </c>
      <c r="D1095" s="34" t="s">
        <v>68</v>
      </c>
      <c r="E1095" s="34" t="s">
        <v>72</v>
      </c>
      <c r="F1095" s="35">
        <v>129077</v>
      </c>
      <c r="G1095" s="35">
        <v>4065</v>
      </c>
      <c r="H1095" s="36">
        <v>3.15E-2</v>
      </c>
      <c r="I1095" s="37">
        <v>1.22</v>
      </c>
      <c r="J1095" s="37">
        <v>4959.3</v>
      </c>
      <c r="K1095" s="35">
        <v>295</v>
      </c>
      <c r="L1095" s="37">
        <v>16.809999999999999</v>
      </c>
      <c r="M1095" s="37">
        <v>44193.52</v>
      </c>
      <c r="N1095" s="38">
        <v>8.91</v>
      </c>
    </row>
    <row r="1096" spans="1:14" x14ac:dyDescent="0.3">
      <c r="A1096" s="33">
        <v>45555</v>
      </c>
      <c r="B1096" s="34" t="s">
        <v>74</v>
      </c>
      <c r="C1096" s="34" t="s">
        <v>70</v>
      </c>
      <c r="D1096" s="34" t="s">
        <v>76</v>
      </c>
      <c r="E1096" s="34" t="s">
        <v>72</v>
      </c>
      <c r="F1096" s="35">
        <v>166874</v>
      </c>
      <c r="G1096" s="35">
        <v>6641</v>
      </c>
      <c r="H1096" s="36">
        <v>3.9800000000000002E-2</v>
      </c>
      <c r="I1096" s="37">
        <v>0.68</v>
      </c>
      <c r="J1096" s="37">
        <v>4515.88</v>
      </c>
      <c r="K1096" s="35">
        <v>200</v>
      </c>
      <c r="L1096" s="37">
        <v>22.58</v>
      </c>
      <c r="M1096" s="37">
        <v>17225.95</v>
      </c>
      <c r="N1096" s="38">
        <v>3.81</v>
      </c>
    </row>
    <row r="1097" spans="1:14" x14ac:dyDescent="0.3">
      <c r="A1097" s="33">
        <v>45335</v>
      </c>
      <c r="B1097" s="34" t="s">
        <v>60</v>
      </c>
      <c r="C1097" s="34" t="s">
        <v>61</v>
      </c>
      <c r="D1097" s="34" t="s">
        <v>71</v>
      </c>
      <c r="E1097" s="34" t="s">
        <v>78</v>
      </c>
      <c r="F1097" s="35">
        <v>153865</v>
      </c>
      <c r="G1097" s="35">
        <v>5785</v>
      </c>
      <c r="H1097" s="36">
        <v>3.7600000000000001E-2</v>
      </c>
      <c r="I1097" s="37">
        <v>1.7</v>
      </c>
      <c r="J1097" s="37">
        <v>9834.5</v>
      </c>
      <c r="K1097" s="35">
        <v>139</v>
      </c>
      <c r="L1097" s="37">
        <v>70.75</v>
      </c>
      <c r="M1097" s="37">
        <v>16979.34</v>
      </c>
      <c r="N1097" s="38">
        <v>1.73</v>
      </c>
    </row>
    <row r="1098" spans="1:14" x14ac:dyDescent="0.3">
      <c r="A1098" s="33">
        <v>45603</v>
      </c>
      <c r="B1098" s="34" t="s">
        <v>64</v>
      </c>
      <c r="C1098" s="34" t="s">
        <v>75</v>
      </c>
      <c r="D1098" s="34" t="s">
        <v>68</v>
      </c>
      <c r="E1098" s="34" t="s">
        <v>66</v>
      </c>
      <c r="F1098" s="35">
        <v>187199</v>
      </c>
      <c r="G1098" s="35">
        <v>12036</v>
      </c>
      <c r="H1098" s="36">
        <v>6.4299999999999996E-2</v>
      </c>
      <c r="I1098" s="37">
        <v>1.33</v>
      </c>
      <c r="J1098" s="37">
        <v>16007.88</v>
      </c>
      <c r="K1098" s="35">
        <v>946</v>
      </c>
      <c r="L1098" s="37">
        <v>16.920000000000002</v>
      </c>
      <c r="M1098" s="37">
        <v>165825.37</v>
      </c>
      <c r="N1098" s="38">
        <v>10.36</v>
      </c>
    </row>
    <row r="1099" spans="1:14" x14ac:dyDescent="0.3">
      <c r="A1099" s="33">
        <v>45470</v>
      </c>
      <c r="B1099" s="34" t="s">
        <v>74</v>
      </c>
      <c r="C1099" s="34" t="s">
        <v>67</v>
      </c>
      <c r="D1099" s="34" t="s">
        <v>71</v>
      </c>
      <c r="E1099" s="34" t="s">
        <v>66</v>
      </c>
      <c r="F1099" s="35">
        <v>117696</v>
      </c>
      <c r="G1099" s="35">
        <v>4531</v>
      </c>
      <c r="H1099" s="36">
        <v>3.85E-2</v>
      </c>
      <c r="I1099" s="37">
        <v>1.0900000000000001</v>
      </c>
      <c r="J1099" s="37">
        <v>4938.79</v>
      </c>
      <c r="K1099" s="35">
        <v>325</v>
      </c>
      <c r="L1099" s="37">
        <v>15.2</v>
      </c>
      <c r="M1099" s="37">
        <v>19270.73</v>
      </c>
      <c r="N1099" s="38">
        <v>3.9</v>
      </c>
    </row>
    <row r="1100" spans="1:14" x14ac:dyDescent="0.3">
      <c r="A1100" s="33">
        <v>45584</v>
      </c>
      <c r="B1100" s="34" t="s">
        <v>74</v>
      </c>
      <c r="C1100" s="34" t="s">
        <v>61</v>
      </c>
      <c r="D1100" s="34" t="s">
        <v>68</v>
      </c>
      <c r="E1100" s="34" t="s">
        <v>73</v>
      </c>
      <c r="F1100" s="35">
        <v>147324</v>
      </c>
      <c r="G1100" s="35">
        <v>1325</v>
      </c>
      <c r="H1100" s="36">
        <v>8.9999999999999993E-3</v>
      </c>
      <c r="I1100" s="37">
        <v>1.72</v>
      </c>
      <c r="J1100" s="37">
        <v>2279</v>
      </c>
      <c r="K1100" s="35">
        <v>96</v>
      </c>
      <c r="L1100" s="37">
        <v>23.74</v>
      </c>
      <c r="M1100" s="37">
        <v>10356.84</v>
      </c>
      <c r="N1100" s="38">
        <v>4.54</v>
      </c>
    </row>
    <row r="1101" spans="1:14" x14ac:dyDescent="0.3">
      <c r="A1101" s="33">
        <v>45508</v>
      </c>
      <c r="B1101" s="34" t="s">
        <v>60</v>
      </c>
      <c r="C1101" s="34" t="s">
        <v>67</v>
      </c>
      <c r="D1101" s="34" t="s">
        <v>62</v>
      </c>
      <c r="E1101" s="34" t="s">
        <v>78</v>
      </c>
      <c r="F1101" s="35">
        <v>39001</v>
      </c>
      <c r="G1101" s="35">
        <v>1450</v>
      </c>
      <c r="H1101" s="36">
        <v>3.7199999999999997E-2</v>
      </c>
      <c r="I1101" s="37">
        <v>2.62</v>
      </c>
      <c r="J1101" s="37">
        <v>3799</v>
      </c>
      <c r="K1101" s="35">
        <v>18</v>
      </c>
      <c r="L1101" s="37">
        <v>211.06</v>
      </c>
      <c r="M1101" s="37">
        <v>5256.07</v>
      </c>
      <c r="N1101" s="38">
        <v>1.38</v>
      </c>
    </row>
    <row r="1102" spans="1:14" x14ac:dyDescent="0.3">
      <c r="A1102" s="33">
        <v>45294</v>
      </c>
      <c r="B1102" s="34" t="s">
        <v>64</v>
      </c>
      <c r="C1102" s="34" t="s">
        <v>61</v>
      </c>
      <c r="D1102" s="34" t="s">
        <v>68</v>
      </c>
      <c r="E1102" s="34" t="s">
        <v>69</v>
      </c>
      <c r="F1102" s="35">
        <v>69277</v>
      </c>
      <c r="G1102" s="35">
        <v>5057</v>
      </c>
      <c r="H1102" s="36">
        <v>7.2999999999999995E-2</v>
      </c>
      <c r="I1102" s="37">
        <v>1.06</v>
      </c>
      <c r="J1102" s="37">
        <v>5360.42</v>
      </c>
      <c r="K1102" s="35">
        <v>268</v>
      </c>
      <c r="L1102" s="37">
        <v>20</v>
      </c>
      <c r="M1102" s="37">
        <v>57608.77</v>
      </c>
      <c r="N1102" s="38">
        <v>10.75</v>
      </c>
    </row>
    <row r="1103" spans="1:14" x14ac:dyDescent="0.3">
      <c r="A1103" s="33">
        <v>45392</v>
      </c>
      <c r="B1103" s="34" t="s">
        <v>60</v>
      </c>
      <c r="C1103" s="34" t="s">
        <v>61</v>
      </c>
      <c r="D1103" s="34" t="s">
        <v>76</v>
      </c>
      <c r="E1103" s="34" t="s">
        <v>69</v>
      </c>
      <c r="F1103" s="35">
        <v>166687</v>
      </c>
      <c r="G1103" s="35">
        <v>11384</v>
      </c>
      <c r="H1103" s="36">
        <v>6.83E-2</v>
      </c>
      <c r="I1103" s="37">
        <v>0.73</v>
      </c>
      <c r="J1103" s="37">
        <v>8310.32</v>
      </c>
      <c r="K1103" s="35">
        <v>899</v>
      </c>
      <c r="L1103" s="37">
        <v>9.24</v>
      </c>
      <c r="M1103" s="37">
        <v>139644.20000000001</v>
      </c>
      <c r="N1103" s="38">
        <v>16.8</v>
      </c>
    </row>
    <row r="1104" spans="1:14" x14ac:dyDescent="0.3">
      <c r="A1104" s="33">
        <v>45628</v>
      </c>
      <c r="B1104" s="34" t="s">
        <v>74</v>
      </c>
      <c r="C1104" s="34" t="s">
        <v>67</v>
      </c>
      <c r="D1104" s="34" t="s">
        <v>76</v>
      </c>
      <c r="E1104" s="34" t="s">
        <v>73</v>
      </c>
      <c r="F1104" s="35">
        <v>173898</v>
      </c>
      <c r="G1104" s="35">
        <v>5321</v>
      </c>
      <c r="H1104" s="36">
        <v>3.0599999999999999E-2</v>
      </c>
      <c r="I1104" s="37">
        <v>0.53</v>
      </c>
      <c r="J1104" s="37">
        <v>2820.13</v>
      </c>
      <c r="K1104" s="35">
        <v>239</v>
      </c>
      <c r="L1104" s="37">
        <v>11.8</v>
      </c>
      <c r="M1104" s="37">
        <v>52181.09</v>
      </c>
      <c r="N1104" s="38">
        <v>18.5</v>
      </c>
    </row>
    <row r="1105" spans="1:14" x14ac:dyDescent="0.3">
      <c r="A1105" s="33">
        <v>45443</v>
      </c>
      <c r="B1105" s="34" t="s">
        <v>60</v>
      </c>
      <c r="C1105" s="34" t="s">
        <v>75</v>
      </c>
      <c r="D1105" s="34" t="s">
        <v>71</v>
      </c>
      <c r="E1105" s="34" t="s">
        <v>73</v>
      </c>
      <c r="F1105" s="35">
        <v>117000</v>
      </c>
      <c r="G1105" s="35">
        <v>7979</v>
      </c>
      <c r="H1105" s="36">
        <v>6.8199999999999997E-2</v>
      </c>
      <c r="I1105" s="37">
        <v>1.47</v>
      </c>
      <c r="J1105" s="37">
        <v>11729.13</v>
      </c>
      <c r="K1105" s="35">
        <v>366</v>
      </c>
      <c r="L1105" s="37">
        <v>32.049999999999997</v>
      </c>
      <c r="M1105" s="37">
        <v>14373.81</v>
      </c>
      <c r="N1105" s="38">
        <v>1.23</v>
      </c>
    </row>
    <row r="1106" spans="1:14" x14ac:dyDescent="0.3">
      <c r="A1106" s="33">
        <v>45590</v>
      </c>
      <c r="B1106" s="34" t="s">
        <v>74</v>
      </c>
      <c r="C1106" s="34" t="s">
        <v>70</v>
      </c>
      <c r="D1106" s="34" t="s">
        <v>71</v>
      </c>
      <c r="E1106" s="34" t="s">
        <v>66</v>
      </c>
      <c r="F1106" s="35">
        <v>55697</v>
      </c>
      <c r="G1106" s="35">
        <v>957</v>
      </c>
      <c r="H1106" s="36">
        <v>1.72E-2</v>
      </c>
      <c r="I1106" s="37">
        <v>0.91</v>
      </c>
      <c r="J1106" s="37">
        <v>870.87</v>
      </c>
      <c r="K1106" s="35">
        <v>12</v>
      </c>
      <c r="L1106" s="37">
        <v>72.569999999999993</v>
      </c>
      <c r="M1106" s="37">
        <v>1673.31</v>
      </c>
      <c r="N1106" s="38">
        <v>1.92</v>
      </c>
    </row>
    <row r="1107" spans="1:14" x14ac:dyDescent="0.3">
      <c r="A1107" s="33">
        <v>45476</v>
      </c>
      <c r="B1107" s="34" t="s">
        <v>60</v>
      </c>
      <c r="C1107" s="34" t="s">
        <v>75</v>
      </c>
      <c r="D1107" s="34" t="s">
        <v>62</v>
      </c>
      <c r="E1107" s="34" t="s">
        <v>66</v>
      </c>
      <c r="F1107" s="35">
        <v>46585</v>
      </c>
      <c r="G1107" s="35">
        <v>1504</v>
      </c>
      <c r="H1107" s="36">
        <v>3.2300000000000002E-2</v>
      </c>
      <c r="I1107" s="37">
        <v>2.2000000000000002</v>
      </c>
      <c r="J1107" s="37">
        <v>3308.8</v>
      </c>
      <c r="K1107" s="35">
        <v>85</v>
      </c>
      <c r="L1107" s="37">
        <v>38.93</v>
      </c>
      <c r="M1107" s="37">
        <v>13372.82</v>
      </c>
      <c r="N1107" s="38">
        <v>4.04</v>
      </c>
    </row>
    <row r="1108" spans="1:14" x14ac:dyDescent="0.3">
      <c r="A1108" s="33">
        <v>45518</v>
      </c>
      <c r="B1108" s="34" t="s">
        <v>64</v>
      </c>
      <c r="C1108" s="34" t="s">
        <v>61</v>
      </c>
      <c r="D1108" s="34" t="s">
        <v>76</v>
      </c>
      <c r="E1108" s="34" t="s">
        <v>72</v>
      </c>
      <c r="F1108" s="35">
        <v>97345</v>
      </c>
      <c r="G1108" s="35">
        <v>5178</v>
      </c>
      <c r="H1108" s="36">
        <v>5.3199999999999997E-2</v>
      </c>
      <c r="I1108" s="37">
        <v>0.61</v>
      </c>
      <c r="J1108" s="37">
        <v>3158.58</v>
      </c>
      <c r="K1108" s="35">
        <v>289</v>
      </c>
      <c r="L1108" s="37">
        <v>10.93</v>
      </c>
      <c r="M1108" s="37">
        <v>44113.49</v>
      </c>
      <c r="N1108" s="38">
        <v>13.97</v>
      </c>
    </row>
    <row r="1109" spans="1:14" x14ac:dyDescent="0.3">
      <c r="A1109" s="33">
        <v>45461</v>
      </c>
      <c r="B1109" s="34" t="s">
        <v>64</v>
      </c>
      <c r="C1109" s="34" t="s">
        <v>67</v>
      </c>
      <c r="D1109" s="34" t="s">
        <v>76</v>
      </c>
      <c r="E1109" s="34" t="s">
        <v>77</v>
      </c>
      <c r="F1109" s="35">
        <v>143519</v>
      </c>
      <c r="G1109" s="35">
        <v>10519</v>
      </c>
      <c r="H1109" s="36">
        <v>7.3300000000000004E-2</v>
      </c>
      <c r="I1109" s="37">
        <v>0.86</v>
      </c>
      <c r="J1109" s="37">
        <v>9046.34</v>
      </c>
      <c r="K1109" s="35">
        <v>673</v>
      </c>
      <c r="L1109" s="37">
        <v>13.44</v>
      </c>
      <c r="M1109" s="37">
        <v>28878.71</v>
      </c>
      <c r="N1109" s="38">
        <v>3.19</v>
      </c>
    </row>
    <row r="1110" spans="1:14" x14ac:dyDescent="0.3">
      <c r="A1110" s="33">
        <v>45413</v>
      </c>
      <c r="B1110" s="34" t="s">
        <v>74</v>
      </c>
      <c r="C1110" s="34" t="s">
        <v>75</v>
      </c>
      <c r="D1110" s="34" t="s">
        <v>76</v>
      </c>
      <c r="E1110" s="34" t="s">
        <v>73</v>
      </c>
      <c r="F1110" s="35">
        <v>68843</v>
      </c>
      <c r="G1110" s="35">
        <v>633</v>
      </c>
      <c r="H1110" s="36">
        <v>9.1999999999999998E-3</v>
      </c>
      <c r="I1110" s="37">
        <v>0.89</v>
      </c>
      <c r="J1110" s="37">
        <v>563.37</v>
      </c>
      <c r="K1110" s="35">
        <v>25</v>
      </c>
      <c r="L1110" s="37">
        <v>22.53</v>
      </c>
      <c r="M1110" s="37">
        <v>2441.19</v>
      </c>
      <c r="N1110" s="38">
        <v>4.33</v>
      </c>
    </row>
    <row r="1111" spans="1:14" x14ac:dyDescent="0.3">
      <c r="A1111" s="33">
        <v>45378</v>
      </c>
      <c r="B1111" s="34" t="s">
        <v>60</v>
      </c>
      <c r="C1111" s="34" t="s">
        <v>75</v>
      </c>
      <c r="D1111" s="34" t="s">
        <v>62</v>
      </c>
      <c r="E1111" s="34" t="s">
        <v>69</v>
      </c>
      <c r="F1111" s="35">
        <v>129679</v>
      </c>
      <c r="G1111" s="35">
        <v>5848</v>
      </c>
      <c r="H1111" s="36">
        <v>4.5100000000000001E-2</v>
      </c>
      <c r="I1111" s="37">
        <v>1.48</v>
      </c>
      <c r="J1111" s="37">
        <v>8655.0400000000009</v>
      </c>
      <c r="K1111" s="35">
        <v>158</v>
      </c>
      <c r="L1111" s="37">
        <v>54.78</v>
      </c>
      <c r="M1111" s="37">
        <v>32419.87</v>
      </c>
      <c r="N1111" s="38">
        <v>3.75</v>
      </c>
    </row>
    <row r="1112" spans="1:14" x14ac:dyDescent="0.3">
      <c r="A1112" s="33">
        <v>45322</v>
      </c>
      <c r="B1112" s="34" t="s">
        <v>74</v>
      </c>
      <c r="C1112" s="34" t="s">
        <v>61</v>
      </c>
      <c r="D1112" s="34" t="s">
        <v>62</v>
      </c>
      <c r="E1112" s="34" t="s">
        <v>66</v>
      </c>
      <c r="F1112" s="35">
        <v>153157</v>
      </c>
      <c r="G1112" s="35">
        <v>5498</v>
      </c>
      <c r="H1112" s="36">
        <v>3.5900000000000001E-2</v>
      </c>
      <c r="I1112" s="37">
        <v>1.8</v>
      </c>
      <c r="J1112" s="37">
        <v>9896.4</v>
      </c>
      <c r="K1112" s="35">
        <v>401</v>
      </c>
      <c r="L1112" s="37">
        <v>24.68</v>
      </c>
      <c r="M1112" s="37">
        <v>90694.52</v>
      </c>
      <c r="N1112" s="38">
        <v>9.16</v>
      </c>
    </row>
    <row r="1113" spans="1:14" x14ac:dyDescent="0.3">
      <c r="A1113" s="33">
        <v>45525</v>
      </c>
      <c r="B1113" s="34" t="s">
        <v>74</v>
      </c>
      <c r="C1113" s="34" t="s">
        <v>75</v>
      </c>
      <c r="D1113" s="34" t="s">
        <v>76</v>
      </c>
      <c r="E1113" s="34" t="s">
        <v>73</v>
      </c>
      <c r="F1113" s="35">
        <v>138074</v>
      </c>
      <c r="G1113" s="35">
        <v>3313</v>
      </c>
      <c r="H1113" s="36">
        <v>2.4E-2</v>
      </c>
      <c r="I1113" s="37">
        <v>1.91</v>
      </c>
      <c r="J1113" s="37">
        <v>6327.83</v>
      </c>
      <c r="K1113" s="35">
        <v>209</v>
      </c>
      <c r="L1113" s="37">
        <v>30.28</v>
      </c>
      <c r="M1113" s="37">
        <v>16533.53</v>
      </c>
      <c r="N1113" s="38">
        <v>2.61</v>
      </c>
    </row>
    <row r="1114" spans="1:14" x14ac:dyDescent="0.3">
      <c r="A1114" s="33">
        <v>45612</v>
      </c>
      <c r="B1114" s="34" t="s">
        <v>60</v>
      </c>
      <c r="C1114" s="34" t="s">
        <v>70</v>
      </c>
      <c r="D1114" s="34" t="s">
        <v>71</v>
      </c>
      <c r="E1114" s="34" t="s">
        <v>72</v>
      </c>
      <c r="F1114" s="35">
        <v>119132</v>
      </c>
      <c r="G1114" s="35">
        <v>3466</v>
      </c>
      <c r="H1114" s="36">
        <v>2.9100000000000001E-2</v>
      </c>
      <c r="I1114" s="37">
        <v>2.19</v>
      </c>
      <c r="J1114" s="37">
        <v>7590.54</v>
      </c>
      <c r="K1114" s="35">
        <v>261</v>
      </c>
      <c r="L1114" s="37">
        <v>29.08</v>
      </c>
      <c r="M1114" s="37">
        <v>30598.06</v>
      </c>
      <c r="N1114" s="38">
        <v>4.03</v>
      </c>
    </row>
    <row r="1115" spans="1:14" x14ac:dyDescent="0.3">
      <c r="A1115" s="33">
        <v>45417</v>
      </c>
      <c r="B1115" s="34" t="s">
        <v>60</v>
      </c>
      <c r="C1115" s="34" t="s">
        <v>67</v>
      </c>
      <c r="D1115" s="34" t="s">
        <v>76</v>
      </c>
      <c r="E1115" s="34" t="s">
        <v>73</v>
      </c>
      <c r="F1115" s="35">
        <v>43634</v>
      </c>
      <c r="G1115" s="35">
        <v>1937</v>
      </c>
      <c r="H1115" s="36">
        <v>4.4400000000000002E-2</v>
      </c>
      <c r="I1115" s="37">
        <v>2.38</v>
      </c>
      <c r="J1115" s="37">
        <v>4610.0600000000004</v>
      </c>
      <c r="K1115" s="35">
        <v>58</v>
      </c>
      <c r="L1115" s="37">
        <v>79.48</v>
      </c>
      <c r="M1115" s="37">
        <v>15065.19</v>
      </c>
      <c r="N1115" s="38">
        <v>3.27</v>
      </c>
    </row>
    <row r="1116" spans="1:14" x14ac:dyDescent="0.3">
      <c r="A1116" s="33">
        <v>45470</v>
      </c>
      <c r="B1116" s="34" t="s">
        <v>74</v>
      </c>
      <c r="C1116" s="34" t="s">
        <v>70</v>
      </c>
      <c r="D1116" s="34" t="s">
        <v>62</v>
      </c>
      <c r="E1116" s="34" t="s">
        <v>69</v>
      </c>
      <c r="F1116" s="35">
        <v>198899</v>
      </c>
      <c r="G1116" s="35">
        <v>2923</v>
      </c>
      <c r="H1116" s="36">
        <v>1.47E-2</v>
      </c>
      <c r="I1116" s="37">
        <v>1.97</v>
      </c>
      <c r="J1116" s="37">
        <v>5758.31</v>
      </c>
      <c r="K1116" s="35">
        <v>95</v>
      </c>
      <c r="L1116" s="37">
        <v>60.61</v>
      </c>
      <c r="M1116" s="37">
        <v>3750</v>
      </c>
      <c r="N1116" s="38">
        <v>0.65</v>
      </c>
    </row>
    <row r="1117" spans="1:14" x14ac:dyDescent="0.3">
      <c r="A1117" s="33">
        <v>45427</v>
      </c>
      <c r="B1117" s="34" t="s">
        <v>74</v>
      </c>
      <c r="C1117" s="34" t="s">
        <v>67</v>
      </c>
      <c r="D1117" s="34" t="s">
        <v>71</v>
      </c>
      <c r="E1117" s="34" t="s">
        <v>72</v>
      </c>
      <c r="F1117" s="35">
        <v>143383</v>
      </c>
      <c r="G1117" s="35">
        <v>3412</v>
      </c>
      <c r="H1117" s="36">
        <v>2.3800000000000002E-2</v>
      </c>
      <c r="I1117" s="37">
        <v>1.02</v>
      </c>
      <c r="J1117" s="37">
        <v>3480.24</v>
      </c>
      <c r="K1117" s="35">
        <v>117</v>
      </c>
      <c r="L1117" s="37">
        <v>29.75</v>
      </c>
      <c r="M1117" s="37">
        <v>19100.2</v>
      </c>
      <c r="N1117" s="38">
        <v>5.49</v>
      </c>
    </row>
    <row r="1118" spans="1:14" x14ac:dyDescent="0.3">
      <c r="A1118" s="33">
        <v>45328</v>
      </c>
      <c r="B1118" s="34" t="s">
        <v>74</v>
      </c>
      <c r="C1118" s="34" t="s">
        <v>67</v>
      </c>
      <c r="D1118" s="34" t="s">
        <v>76</v>
      </c>
      <c r="E1118" s="34" t="s">
        <v>63</v>
      </c>
      <c r="F1118" s="35">
        <v>92469</v>
      </c>
      <c r="G1118" s="35">
        <v>2487</v>
      </c>
      <c r="H1118" s="36">
        <v>2.69E-2</v>
      </c>
      <c r="I1118" s="37">
        <v>0.6</v>
      </c>
      <c r="J1118" s="37">
        <v>1492.2</v>
      </c>
      <c r="K1118" s="35">
        <v>48</v>
      </c>
      <c r="L1118" s="37">
        <v>31.09</v>
      </c>
      <c r="M1118" s="37">
        <v>14164.35</v>
      </c>
      <c r="N1118" s="38">
        <v>9.49</v>
      </c>
    </row>
    <row r="1119" spans="1:14" x14ac:dyDescent="0.3">
      <c r="A1119" s="33">
        <v>45605</v>
      </c>
      <c r="B1119" s="34" t="s">
        <v>60</v>
      </c>
      <c r="C1119" s="34" t="s">
        <v>70</v>
      </c>
      <c r="D1119" s="34" t="s">
        <v>71</v>
      </c>
      <c r="E1119" s="34" t="s">
        <v>72</v>
      </c>
      <c r="F1119" s="35">
        <v>30852</v>
      </c>
      <c r="G1119" s="35">
        <v>684</v>
      </c>
      <c r="H1119" s="36">
        <v>2.2200000000000001E-2</v>
      </c>
      <c r="I1119" s="37">
        <v>1.59</v>
      </c>
      <c r="J1119" s="37">
        <v>1087.56</v>
      </c>
      <c r="K1119" s="35">
        <v>11</v>
      </c>
      <c r="L1119" s="37">
        <v>98.87</v>
      </c>
      <c r="M1119" s="37">
        <v>2813.84</v>
      </c>
      <c r="N1119" s="38">
        <v>2.59</v>
      </c>
    </row>
    <row r="1120" spans="1:14" x14ac:dyDescent="0.3">
      <c r="A1120" s="33">
        <v>45612</v>
      </c>
      <c r="B1120" s="34" t="s">
        <v>74</v>
      </c>
      <c r="C1120" s="34" t="s">
        <v>61</v>
      </c>
      <c r="D1120" s="34" t="s">
        <v>68</v>
      </c>
      <c r="E1120" s="34" t="s">
        <v>72</v>
      </c>
      <c r="F1120" s="35">
        <v>87565</v>
      </c>
      <c r="G1120" s="35">
        <v>3213</v>
      </c>
      <c r="H1120" s="36">
        <v>3.6700000000000003E-2</v>
      </c>
      <c r="I1120" s="37">
        <v>2.2000000000000002</v>
      </c>
      <c r="J1120" s="37">
        <v>7068.6</v>
      </c>
      <c r="K1120" s="35">
        <v>106</v>
      </c>
      <c r="L1120" s="37">
        <v>66.680000000000007</v>
      </c>
      <c r="M1120" s="37">
        <v>13715.98</v>
      </c>
      <c r="N1120" s="38">
        <v>1.94</v>
      </c>
    </row>
    <row r="1121" spans="1:14" x14ac:dyDescent="0.3">
      <c r="A1121" s="33">
        <v>45637</v>
      </c>
      <c r="B1121" s="34" t="s">
        <v>60</v>
      </c>
      <c r="C1121" s="34" t="s">
        <v>70</v>
      </c>
      <c r="D1121" s="34" t="s">
        <v>65</v>
      </c>
      <c r="E1121" s="34" t="s">
        <v>66</v>
      </c>
      <c r="F1121" s="35">
        <v>154058</v>
      </c>
      <c r="G1121" s="35">
        <v>3728</v>
      </c>
      <c r="H1121" s="36">
        <v>2.4199999999999999E-2</v>
      </c>
      <c r="I1121" s="37">
        <v>2.46</v>
      </c>
      <c r="J1121" s="37">
        <v>9170.8799999999992</v>
      </c>
      <c r="K1121" s="35">
        <v>125</v>
      </c>
      <c r="L1121" s="37">
        <v>73.37</v>
      </c>
      <c r="M1121" s="37">
        <v>7520.81</v>
      </c>
      <c r="N1121" s="38">
        <v>0.82</v>
      </c>
    </row>
    <row r="1122" spans="1:14" x14ac:dyDescent="0.3">
      <c r="A1122" s="33">
        <v>45457</v>
      </c>
      <c r="B1122" s="34" t="s">
        <v>60</v>
      </c>
      <c r="C1122" s="34" t="s">
        <v>75</v>
      </c>
      <c r="D1122" s="34" t="s">
        <v>71</v>
      </c>
      <c r="E1122" s="34" t="s">
        <v>77</v>
      </c>
      <c r="F1122" s="35">
        <v>160579</v>
      </c>
      <c r="G1122" s="35">
        <v>7804</v>
      </c>
      <c r="H1122" s="36">
        <v>4.8599999999999997E-2</v>
      </c>
      <c r="I1122" s="37">
        <v>1.36</v>
      </c>
      <c r="J1122" s="37">
        <v>10613.44</v>
      </c>
      <c r="K1122" s="35">
        <v>193</v>
      </c>
      <c r="L1122" s="37">
        <v>54.99</v>
      </c>
      <c r="M1122" s="37">
        <v>9996.49</v>
      </c>
      <c r="N1122" s="38">
        <v>0.94</v>
      </c>
    </row>
    <row r="1123" spans="1:14" x14ac:dyDescent="0.3">
      <c r="A1123" s="33">
        <v>45589</v>
      </c>
      <c r="B1123" s="34" t="s">
        <v>64</v>
      </c>
      <c r="C1123" s="34" t="s">
        <v>61</v>
      </c>
      <c r="D1123" s="34" t="s">
        <v>71</v>
      </c>
      <c r="E1123" s="34" t="s">
        <v>63</v>
      </c>
      <c r="F1123" s="35">
        <v>34076</v>
      </c>
      <c r="G1123" s="35">
        <v>1363</v>
      </c>
      <c r="H1123" s="36">
        <v>0.04</v>
      </c>
      <c r="I1123" s="37">
        <v>1.1399999999999999</v>
      </c>
      <c r="J1123" s="37">
        <v>1553.82</v>
      </c>
      <c r="K1123" s="35">
        <v>16</v>
      </c>
      <c r="L1123" s="37">
        <v>97.11</v>
      </c>
      <c r="M1123" s="37">
        <v>2219.67</v>
      </c>
      <c r="N1123" s="38">
        <v>1.43</v>
      </c>
    </row>
    <row r="1124" spans="1:14" x14ac:dyDescent="0.3">
      <c r="A1124" s="33">
        <v>45441</v>
      </c>
      <c r="B1124" s="34" t="s">
        <v>64</v>
      </c>
      <c r="C1124" s="34" t="s">
        <v>70</v>
      </c>
      <c r="D1124" s="34" t="s">
        <v>68</v>
      </c>
      <c r="E1124" s="34" t="s">
        <v>72</v>
      </c>
      <c r="F1124" s="35">
        <v>37261</v>
      </c>
      <c r="G1124" s="35">
        <v>1591</v>
      </c>
      <c r="H1124" s="36">
        <v>4.2700000000000002E-2</v>
      </c>
      <c r="I1124" s="37">
        <v>1.08</v>
      </c>
      <c r="J1124" s="37">
        <v>1718.28</v>
      </c>
      <c r="K1124" s="35">
        <v>40</v>
      </c>
      <c r="L1124" s="37">
        <v>42.96</v>
      </c>
      <c r="M1124" s="37">
        <v>8930.0400000000009</v>
      </c>
      <c r="N1124" s="38">
        <v>5.2</v>
      </c>
    </row>
    <row r="1125" spans="1:14" x14ac:dyDescent="0.3">
      <c r="A1125" s="33">
        <v>45338</v>
      </c>
      <c r="B1125" s="34" t="s">
        <v>74</v>
      </c>
      <c r="C1125" s="34" t="s">
        <v>70</v>
      </c>
      <c r="D1125" s="34" t="s">
        <v>62</v>
      </c>
      <c r="E1125" s="34" t="s">
        <v>69</v>
      </c>
      <c r="F1125" s="35">
        <v>178553</v>
      </c>
      <c r="G1125" s="35">
        <v>7213</v>
      </c>
      <c r="H1125" s="36">
        <v>4.0399999999999998E-2</v>
      </c>
      <c r="I1125" s="37">
        <v>2.2799999999999998</v>
      </c>
      <c r="J1125" s="37">
        <v>16445.64</v>
      </c>
      <c r="K1125" s="35">
        <v>556</v>
      </c>
      <c r="L1125" s="37">
        <v>29.58</v>
      </c>
      <c r="M1125" s="37">
        <v>50559.85</v>
      </c>
      <c r="N1125" s="38">
        <v>3.07</v>
      </c>
    </row>
    <row r="1126" spans="1:14" x14ac:dyDescent="0.3">
      <c r="A1126" s="33">
        <v>45357</v>
      </c>
      <c r="B1126" s="34" t="s">
        <v>74</v>
      </c>
      <c r="C1126" s="34" t="s">
        <v>61</v>
      </c>
      <c r="D1126" s="34" t="s">
        <v>68</v>
      </c>
      <c r="E1126" s="34" t="s">
        <v>78</v>
      </c>
      <c r="F1126" s="35">
        <v>132390</v>
      </c>
      <c r="G1126" s="35">
        <v>2780</v>
      </c>
      <c r="H1126" s="36">
        <v>2.1000000000000001E-2</v>
      </c>
      <c r="I1126" s="37">
        <v>1.01</v>
      </c>
      <c r="J1126" s="37">
        <v>2807.8</v>
      </c>
      <c r="K1126" s="35">
        <v>133</v>
      </c>
      <c r="L1126" s="37">
        <v>21.11</v>
      </c>
      <c r="M1126" s="37">
        <v>39444.5</v>
      </c>
      <c r="N1126" s="38">
        <v>14.05</v>
      </c>
    </row>
    <row r="1127" spans="1:14" x14ac:dyDescent="0.3">
      <c r="A1127" s="33">
        <v>45521</v>
      </c>
      <c r="B1127" s="34" t="s">
        <v>64</v>
      </c>
      <c r="C1127" s="34" t="s">
        <v>61</v>
      </c>
      <c r="D1127" s="34" t="s">
        <v>68</v>
      </c>
      <c r="E1127" s="34" t="s">
        <v>78</v>
      </c>
      <c r="F1127" s="35">
        <v>166446</v>
      </c>
      <c r="G1127" s="35">
        <v>7822</v>
      </c>
      <c r="H1127" s="36">
        <v>4.7E-2</v>
      </c>
      <c r="I1127" s="37">
        <v>1.1499999999999999</v>
      </c>
      <c r="J1127" s="37">
        <v>8995.2999999999993</v>
      </c>
      <c r="K1127" s="35">
        <v>218</v>
      </c>
      <c r="L1127" s="37">
        <v>41.26</v>
      </c>
      <c r="M1127" s="37">
        <v>21100.54</v>
      </c>
      <c r="N1127" s="38">
        <v>2.35</v>
      </c>
    </row>
    <row r="1128" spans="1:14" x14ac:dyDescent="0.3">
      <c r="A1128" s="33">
        <v>45595</v>
      </c>
      <c r="B1128" s="34" t="s">
        <v>64</v>
      </c>
      <c r="C1128" s="34" t="s">
        <v>70</v>
      </c>
      <c r="D1128" s="34" t="s">
        <v>65</v>
      </c>
      <c r="E1128" s="34" t="s">
        <v>72</v>
      </c>
      <c r="F1128" s="35">
        <v>158807</v>
      </c>
      <c r="G1128" s="35">
        <v>5859</v>
      </c>
      <c r="H1128" s="36">
        <v>3.6900000000000002E-2</v>
      </c>
      <c r="I1128" s="37">
        <v>0.56999999999999995</v>
      </c>
      <c r="J1128" s="37">
        <v>3339.63</v>
      </c>
      <c r="K1128" s="35">
        <v>73</v>
      </c>
      <c r="L1128" s="37">
        <v>45.75</v>
      </c>
      <c r="M1128" s="37">
        <v>7304.51</v>
      </c>
      <c r="N1128" s="38">
        <v>2.19</v>
      </c>
    </row>
    <row r="1129" spans="1:14" x14ac:dyDescent="0.3">
      <c r="A1129" s="33">
        <v>45583</v>
      </c>
      <c r="B1129" s="34" t="s">
        <v>74</v>
      </c>
      <c r="C1129" s="34" t="s">
        <v>67</v>
      </c>
      <c r="D1129" s="34" t="s">
        <v>65</v>
      </c>
      <c r="E1129" s="34" t="s">
        <v>78</v>
      </c>
      <c r="F1129" s="35">
        <v>66265</v>
      </c>
      <c r="G1129" s="35">
        <v>1881</v>
      </c>
      <c r="H1129" s="36">
        <v>2.8400000000000002E-2</v>
      </c>
      <c r="I1129" s="37">
        <v>2.04</v>
      </c>
      <c r="J1129" s="37">
        <v>3837.24</v>
      </c>
      <c r="K1129" s="35">
        <v>76</v>
      </c>
      <c r="L1129" s="37">
        <v>50.49</v>
      </c>
      <c r="M1129" s="37">
        <v>2782.02</v>
      </c>
      <c r="N1129" s="38">
        <v>0.73</v>
      </c>
    </row>
    <row r="1130" spans="1:14" x14ac:dyDescent="0.3">
      <c r="A1130" s="33">
        <v>45333</v>
      </c>
      <c r="B1130" s="34" t="s">
        <v>60</v>
      </c>
      <c r="C1130" s="34" t="s">
        <v>61</v>
      </c>
      <c r="D1130" s="34" t="s">
        <v>71</v>
      </c>
      <c r="E1130" s="34" t="s">
        <v>66</v>
      </c>
      <c r="F1130" s="35">
        <v>137156</v>
      </c>
      <c r="G1130" s="35">
        <v>5253</v>
      </c>
      <c r="H1130" s="36">
        <v>3.8300000000000001E-2</v>
      </c>
      <c r="I1130" s="37">
        <v>2.15</v>
      </c>
      <c r="J1130" s="37">
        <v>11293.95</v>
      </c>
      <c r="K1130" s="35">
        <v>280</v>
      </c>
      <c r="L1130" s="37">
        <v>40.340000000000003</v>
      </c>
      <c r="M1130" s="37">
        <v>75085.66</v>
      </c>
      <c r="N1130" s="38">
        <v>6.65</v>
      </c>
    </row>
    <row r="1131" spans="1:14" x14ac:dyDescent="0.3">
      <c r="A1131" s="33">
        <v>45654</v>
      </c>
      <c r="B1131" s="34" t="s">
        <v>60</v>
      </c>
      <c r="C1131" s="34" t="s">
        <v>70</v>
      </c>
      <c r="D1131" s="34" t="s">
        <v>62</v>
      </c>
      <c r="E1131" s="34" t="s">
        <v>77</v>
      </c>
      <c r="F1131" s="35">
        <v>123292</v>
      </c>
      <c r="G1131" s="35">
        <v>2527</v>
      </c>
      <c r="H1131" s="36">
        <v>2.0500000000000001E-2</v>
      </c>
      <c r="I1131" s="37">
        <v>3.55</v>
      </c>
      <c r="J1131" s="37">
        <v>8970.85</v>
      </c>
      <c r="K1131" s="35">
        <v>179</v>
      </c>
      <c r="L1131" s="37">
        <v>50.12</v>
      </c>
      <c r="M1131" s="37">
        <v>36566.559999999998</v>
      </c>
      <c r="N1131" s="38">
        <v>4.08</v>
      </c>
    </row>
    <row r="1132" spans="1:14" x14ac:dyDescent="0.3">
      <c r="A1132" s="33">
        <v>45511</v>
      </c>
      <c r="B1132" s="34" t="s">
        <v>64</v>
      </c>
      <c r="C1132" s="34" t="s">
        <v>75</v>
      </c>
      <c r="D1132" s="34" t="s">
        <v>62</v>
      </c>
      <c r="E1132" s="34" t="s">
        <v>66</v>
      </c>
      <c r="F1132" s="35">
        <v>68642</v>
      </c>
      <c r="G1132" s="35">
        <v>3363</v>
      </c>
      <c r="H1132" s="36">
        <v>4.9000000000000002E-2</v>
      </c>
      <c r="I1132" s="37">
        <v>0.37</v>
      </c>
      <c r="J1132" s="37">
        <v>1244.31</v>
      </c>
      <c r="K1132" s="35">
        <v>37</v>
      </c>
      <c r="L1132" s="37">
        <v>33.630000000000003</v>
      </c>
      <c r="M1132" s="37">
        <v>8887.57</v>
      </c>
      <c r="N1132" s="38">
        <v>7.14</v>
      </c>
    </row>
    <row r="1133" spans="1:14" x14ac:dyDescent="0.3">
      <c r="A1133" s="33">
        <v>45342</v>
      </c>
      <c r="B1133" s="34" t="s">
        <v>60</v>
      </c>
      <c r="C1133" s="34" t="s">
        <v>70</v>
      </c>
      <c r="D1133" s="34" t="s">
        <v>71</v>
      </c>
      <c r="E1133" s="34" t="s">
        <v>73</v>
      </c>
      <c r="F1133" s="35">
        <v>147727</v>
      </c>
      <c r="G1133" s="35">
        <v>7534</v>
      </c>
      <c r="H1133" s="36">
        <v>5.0999999999999997E-2</v>
      </c>
      <c r="I1133" s="37">
        <v>2.33</v>
      </c>
      <c r="J1133" s="37">
        <v>17554.22</v>
      </c>
      <c r="K1133" s="35">
        <v>206</v>
      </c>
      <c r="L1133" s="37">
        <v>85.21</v>
      </c>
      <c r="M1133" s="37">
        <v>23788.98</v>
      </c>
      <c r="N1133" s="38">
        <v>1.36</v>
      </c>
    </row>
    <row r="1134" spans="1:14" x14ac:dyDescent="0.3">
      <c r="A1134" s="33">
        <v>45361</v>
      </c>
      <c r="B1134" s="34" t="s">
        <v>64</v>
      </c>
      <c r="C1134" s="34" t="s">
        <v>61</v>
      </c>
      <c r="D1134" s="34" t="s">
        <v>76</v>
      </c>
      <c r="E1134" s="34" t="s">
        <v>78</v>
      </c>
      <c r="F1134" s="35">
        <v>179818</v>
      </c>
      <c r="G1134" s="35">
        <v>11724</v>
      </c>
      <c r="H1134" s="36">
        <v>6.5199999999999994E-2</v>
      </c>
      <c r="I1134" s="37">
        <v>1.03</v>
      </c>
      <c r="J1134" s="37">
        <v>12075.72</v>
      </c>
      <c r="K1134" s="35">
        <v>880</v>
      </c>
      <c r="L1134" s="37">
        <v>13.72</v>
      </c>
      <c r="M1134" s="37">
        <v>242039.99</v>
      </c>
      <c r="N1134" s="38">
        <v>20.04</v>
      </c>
    </row>
    <row r="1135" spans="1:14" x14ac:dyDescent="0.3">
      <c r="A1135" s="33">
        <v>45590</v>
      </c>
      <c r="B1135" s="34" t="s">
        <v>60</v>
      </c>
      <c r="C1135" s="34" t="s">
        <v>75</v>
      </c>
      <c r="D1135" s="34" t="s">
        <v>62</v>
      </c>
      <c r="E1135" s="34" t="s">
        <v>78</v>
      </c>
      <c r="F1135" s="35">
        <v>158481</v>
      </c>
      <c r="G1135" s="35">
        <v>6053</v>
      </c>
      <c r="H1135" s="36">
        <v>3.8199999999999998E-2</v>
      </c>
      <c r="I1135" s="37">
        <v>1.63</v>
      </c>
      <c r="J1135" s="37">
        <v>9866.39</v>
      </c>
      <c r="K1135" s="35">
        <v>116</v>
      </c>
      <c r="L1135" s="37">
        <v>85.06</v>
      </c>
      <c r="M1135" s="37">
        <v>30091.81</v>
      </c>
      <c r="N1135" s="38">
        <v>3.05</v>
      </c>
    </row>
    <row r="1136" spans="1:14" x14ac:dyDescent="0.3">
      <c r="A1136" s="33">
        <v>45453</v>
      </c>
      <c r="B1136" s="34" t="s">
        <v>64</v>
      </c>
      <c r="C1136" s="34" t="s">
        <v>61</v>
      </c>
      <c r="D1136" s="34" t="s">
        <v>62</v>
      </c>
      <c r="E1136" s="34" t="s">
        <v>77</v>
      </c>
      <c r="F1136" s="35">
        <v>12784</v>
      </c>
      <c r="G1136" s="35">
        <v>1055</v>
      </c>
      <c r="H1136" s="36">
        <v>8.2600000000000007E-2</v>
      </c>
      <c r="I1136" s="37">
        <v>0.38</v>
      </c>
      <c r="J1136" s="37">
        <v>400.9</v>
      </c>
      <c r="K1136" s="35">
        <v>67</v>
      </c>
      <c r="L1136" s="37">
        <v>5.98</v>
      </c>
      <c r="M1136" s="37">
        <v>12031.35</v>
      </c>
      <c r="N1136" s="38">
        <v>30.01</v>
      </c>
    </row>
    <row r="1137" spans="1:14" x14ac:dyDescent="0.3">
      <c r="A1137" s="33">
        <v>45637</v>
      </c>
      <c r="B1137" s="34" t="s">
        <v>74</v>
      </c>
      <c r="C1137" s="34" t="s">
        <v>67</v>
      </c>
      <c r="D1137" s="34" t="s">
        <v>65</v>
      </c>
      <c r="E1137" s="34" t="s">
        <v>78</v>
      </c>
      <c r="F1137" s="35">
        <v>117169</v>
      </c>
      <c r="G1137" s="35">
        <v>3304</v>
      </c>
      <c r="H1137" s="36">
        <v>2.8199999999999999E-2</v>
      </c>
      <c r="I1137" s="37">
        <v>1.27</v>
      </c>
      <c r="J1137" s="37">
        <v>4196.08</v>
      </c>
      <c r="K1137" s="35">
        <v>83</v>
      </c>
      <c r="L1137" s="37">
        <v>50.56</v>
      </c>
      <c r="M1137" s="37">
        <v>20949.79</v>
      </c>
      <c r="N1137" s="38">
        <v>4.99</v>
      </c>
    </row>
    <row r="1138" spans="1:14" x14ac:dyDescent="0.3">
      <c r="A1138" s="33">
        <v>45308</v>
      </c>
      <c r="B1138" s="34" t="s">
        <v>74</v>
      </c>
      <c r="C1138" s="34" t="s">
        <v>67</v>
      </c>
      <c r="D1138" s="34" t="s">
        <v>65</v>
      </c>
      <c r="E1138" s="34" t="s">
        <v>72</v>
      </c>
      <c r="F1138" s="35">
        <v>190928</v>
      </c>
      <c r="G1138" s="35">
        <v>5078</v>
      </c>
      <c r="H1138" s="36">
        <v>2.6599999999999999E-2</v>
      </c>
      <c r="I1138" s="37">
        <v>1.45</v>
      </c>
      <c r="J1138" s="37">
        <v>7363.1</v>
      </c>
      <c r="K1138" s="35">
        <v>186</v>
      </c>
      <c r="L1138" s="37">
        <v>39.590000000000003</v>
      </c>
      <c r="M1138" s="37">
        <v>47430.11</v>
      </c>
      <c r="N1138" s="38">
        <v>6.44</v>
      </c>
    </row>
    <row r="1139" spans="1:14" x14ac:dyDescent="0.3">
      <c r="A1139" s="33">
        <v>45638</v>
      </c>
      <c r="B1139" s="34" t="s">
        <v>60</v>
      </c>
      <c r="C1139" s="34" t="s">
        <v>61</v>
      </c>
      <c r="D1139" s="34" t="s">
        <v>76</v>
      </c>
      <c r="E1139" s="34" t="s">
        <v>77</v>
      </c>
      <c r="F1139" s="35">
        <v>38512</v>
      </c>
      <c r="G1139" s="35">
        <v>1840</v>
      </c>
      <c r="H1139" s="36">
        <v>4.7800000000000002E-2</v>
      </c>
      <c r="I1139" s="37">
        <v>1.34</v>
      </c>
      <c r="J1139" s="37">
        <v>2465.6</v>
      </c>
      <c r="K1139" s="35">
        <v>53</v>
      </c>
      <c r="L1139" s="37">
        <v>46.52</v>
      </c>
      <c r="M1139" s="37">
        <v>3324.76</v>
      </c>
      <c r="N1139" s="38">
        <v>1.35</v>
      </c>
    </row>
    <row r="1140" spans="1:14" x14ac:dyDescent="0.3">
      <c r="A1140" s="33">
        <v>45333</v>
      </c>
      <c r="B1140" s="34" t="s">
        <v>74</v>
      </c>
      <c r="C1140" s="34" t="s">
        <v>67</v>
      </c>
      <c r="D1140" s="34" t="s">
        <v>71</v>
      </c>
      <c r="E1140" s="34" t="s">
        <v>63</v>
      </c>
      <c r="F1140" s="35">
        <v>92986</v>
      </c>
      <c r="G1140" s="35">
        <v>2082</v>
      </c>
      <c r="H1140" s="36">
        <v>2.24E-2</v>
      </c>
      <c r="I1140" s="37">
        <v>1.73</v>
      </c>
      <c r="J1140" s="37">
        <v>3601.86</v>
      </c>
      <c r="K1140" s="35">
        <v>108</v>
      </c>
      <c r="L1140" s="37">
        <v>33.35</v>
      </c>
      <c r="M1140" s="37">
        <v>6838.55</v>
      </c>
      <c r="N1140" s="38">
        <v>1.9</v>
      </c>
    </row>
    <row r="1141" spans="1:14" x14ac:dyDescent="0.3">
      <c r="A1141" s="33">
        <v>45411</v>
      </c>
      <c r="B1141" s="34" t="s">
        <v>74</v>
      </c>
      <c r="C1141" s="34" t="s">
        <v>61</v>
      </c>
      <c r="D1141" s="34" t="s">
        <v>68</v>
      </c>
      <c r="E1141" s="34" t="s">
        <v>63</v>
      </c>
      <c r="F1141" s="35">
        <v>80589</v>
      </c>
      <c r="G1141" s="35">
        <v>1160</v>
      </c>
      <c r="H1141" s="36">
        <v>1.44E-2</v>
      </c>
      <c r="I1141" s="37">
        <v>0.95</v>
      </c>
      <c r="J1141" s="37">
        <v>1102</v>
      </c>
      <c r="K1141" s="35">
        <v>75</v>
      </c>
      <c r="L1141" s="37">
        <v>14.69</v>
      </c>
      <c r="M1141" s="37">
        <v>21781.43</v>
      </c>
      <c r="N1141" s="38">
        <v>19.77</v>
      </c>
    </row>
    <row r="1142" spans="1:14" x14ac:dyDescent="0.3">
      <c r="A1142" s="33">
        <v>45492</v>
      </c>
      <c r="B1142" s="34" t="s">
        <v>74</v>
      </c>
      <c r="C1142" s="34" t="s">
        <v>75</v>
      </c>
      <c r="D1142" s="34" t="s">
        <v>65</v>
      </c>
      <c r="E1142" s="34" t="s">
        <v>77</v>
      </c>
      <c r="F1142" s="35">
        <v>140475</v>
      </c>
      <c r="G1142" s="35">
        <v>5043</v>
      </c>
      <c r="H1142" s="36">
        <v>3.5900000000000001E-2</v>
      </c>
      <c r="I1142" s="37">
        <v>2.04</v>
      </c>
      <c r="J1142" s="37">
        <v>10287.719999999999</v>
      </c>
      <c r="K1142" s="35">
        <v>327</v>
      </c>
      <c r="L1142" s="37">
        <v>31.46</v>
      </c>
      <c r="M1142" s="37">
        <v>96504.49</v>
      </c>
      <c r="N1142" s="38">
        <v>9.3800000000000008</v>
      </c>
    </row>
    <row r="1143" spans="1:14" x14ac:dyDescent="0.3">
      <c r="A1143" s="33">
        <v>45544</v>
      </c>
      <c r="B1143" s="34" t="s">
        <v>60</v>
      </c>
      <c r="C1143" s="34" t="s">
        <v>67</v>
      </c>
      <c r="D1143" s="34" t="s">
        <v>76</v>
      </c>
      <c r="E1143" s="34" t="s">
        <v>73</v>
      </c>
      <c r="F1143" s="35">
        <v>103348</v>
      </c>
      <c r="G1143" s="35">
        <v>1891</v>
      </c>
      <c r="H1143" s="36">
        <v>1.83E-2</v>
      </c>
      <c r="I1143" s="37">
        <v>1.54</v>
      </c>
      <c r="J1143" s="37">
        <v>2912.14</v>
      </c>
      <c r="K1143" s="35">
        <v>30</v>
      </c>
      <c r="L1143" s="37">
        <v>97.07</v>
      </c>
      <c r="M1143" s="37">
        <v>1064.02</v>
      </c>
      <c r="N1143" s="38">
        <v>0.37</v>
      </c>
    </row>
    <row r="1144" spans="1:14" x14ac:dyDescent="0.3">
      <c r="A1144" s="33">
        <v>45308</v>
      </c>
      <c r="B1144" s="34" t="s">
        <v>74</v>
      </c>
      <c r="C1144" s="34" t="s">
        <v>61</v>
      </c>
      <c r="D1144" s="34" t="s">
        <v>65</v>
      </c>
      <c r="E1144" s="34" t="s">
        <v>78</v>
      </c>
      <c r="F1144" s="35">
        <v>100343</v>
      </c>
      <c r="G1144" s="35">
        <v>3461</v>
      </c>
      <c r="H1144" s="36">
        <v>3.4500000000000003E-2</v>
      </c>
      <c r="I1144" s="37">
        <v>1.08</v>
      </c>
      <c r="J1144" s="37">
        <v>3737.88</v>
      </c>
      <c r="K1144" s="35">
        <v>259</v>
      </c>
      <c r="L1144" s="37">
        <v>14.43</v>
      </c>
      <c r="M1144" s="37">
        <v>51755.16</v>
      </c>
      <c r="N1144" s="38">
        <v>13.85</v>
      </c>
    </row>
    <row r="1145" spans="1:14" x14ac:dyDescent="0.3">
      <c r="A1145" s="33">
        <v>45494</v>
      </c>
      <c r="B1145" s="34" t="s">
        <v>64</v>
      </c>
      <c r="C1145" s="34" t="s">
        <v>75</v>
      </c>
      <c r="D1145" s="34" t="s">
        <v>71</v>
      </c>
      <c r="E1145" s="34" t="s">
        <v>63</v>
      </c>
      <c r="F1145" s="35">
        <v>179039</v>
      </c>
      <c r="G1145" s="35">
        <v>14663</v>
      </c>
      <c r="H1145" s="36">
        <v>8.1900000000000001E-2</v>
      </c>
      <c r="I1145" s="37">
        <v>1.36</v>
      </c>
      <c r="J1145" s="37">
        <v>19941.68</v>
      </c>
      <c r="K1145" s="35">
        <v>1151</v>
      </c>
      <c r="L1145" s="37">
        <v>17.329999999999998</v>
      </c>
      <c r="M1145" s="37">
        <v>281693.26</v>
      </c>
      <c r="N1145" s="38">
        <v>14.13</v>
      </c>
    </row>
    <row r="1146" spans="1:14" x14ac:dyDescent="0.3">
      <c r="A1146" s="33">
        <v>45402</v>
      </c>
      <c r="B1146" s="34" t="s">
        <v>74</v>
      </c>
      <c r="C1146" s="34" t="s">
        <v>75</v>
      </c>
      <c r="D1146" s="34" t="s">
        <v>71</v>
      </c>
      <c r="E1146" s="34" t="s">
        <v>66</v>
      </c>
      <c r="F1146" s="35">
        <v>13100</v>
      </c>
      <c r="G1146" s="35">
        <v>186</v>
      </c>
      <c r="H1146" s="36">
        <v>1.4200000000000001E-2</v>
      </c>
      <c r="I1146" s="37">
        <v>1.5</v>
      </c>
      <c r="J1146" s="37">
        <v>279</v>
      </c>
      <c r="K1146" s="35">
        <v>10</v>
      </c>
      <c r="L1146" s="37">
        <v>27.9</v>
      </c>
      <c r="M1146" s="37">
        <v>1347.41</v>
      </c>
      <c r="N1146" s="38">
        <v>4.83</v>
      </c>
    </row>
    <row r="1147" spans="1:14" x14ac:dyDescent="0.3">
      <c r="A1147" s="33">
        <v>45326</v>
      </c>
      <c r="B1147" s="34" t="s">
        <v>60</v>
      </c>
      <c r="C1147" s="34" t="s">
        <v>61</v>
      </c>
      <c r="D1147" s="34" t="s">
        <v>65</v>
      </c>
      <c r="E1147" s="34" t="s">
        <v>63</v>
      </c>
      <c r="F1147" s="35">
        <v>167198</v>
      </c>
      <c r="G1147" s="35">
        <v>5132</v>
      </c>
      <c r="H1147" s="36">
        <v>3.0700000000000002E-2</v>
      </c>
      <c r="I1147" s="37">
        <v>2.31</v>
      </c>
      <c r="J1147" s="37">
        <v>11854.92</v>
      </c>
      <c r="K1147" s="35">
        <v>120</v>
      </c>
      <c r="L1147" s="37">
        <v>98.79</v>
      </c>
      <c r="M1147" s="37">
        <v>19874.34</v>
      </c>
      <c r="N1147" s="38">
        <v>1.68</v>
      </c>
    </row>
    <row r="1148" spans="1:14" x14ac:dyDescent="0.3">
      <c r="A1148" s="33">
        <v>45543</v>
      </c>
      <c r="B1148" s="34" t="s">
        <v>74</v>
      </c>
      <c r="C1148" s="34" t="s">
        <v>67</v>
      </c>
      <c r="D1148" s="34" t="s">
        <v>76</v>
      </c>
      <c r="E1148" s="34" t="s">
        <v>66</v>
      </c>
      <c r="F1148" s="35">
        <v>35755</v>
      </c>
      <c r="G1148" s="35">
        <v>672</v>
      </c>
      <c r="H1148" s="36">
        <v>1.8800000000000001E-2</v>
      </c>
      <c r="I1148" s="37">
        <v>2.0099999999999998</v>
      </c>
      <c r="J1148" s="37">
        <v>1350.72</v>
      </c>
      <c r="K1148" s="35">
        <v>39</v>
      </c>
      <c r="L1148" s="37">
        <v>34.630000000000003</v>
      </c>
      <c r="M1148" s="37">
        <v>1411.24</v>
      </c>
      <c r="N1148" s="38">
        <v>1.04</v>
      </c>
    </row>
    <row r="1149" spans="1:14" x14ac:dyDescent="0.3">
      <c r="A1149" s="33">
        <v>45399</v>
      </c>
      <c r="B1149" s="34" t="s">
        <v>60</v>
      </c>
      <c r="C1149" s="34" t="s">
        <v>75</v>
      </c>
      <c r="D1149" s="34" t="s">
        <v>76</v>
      </c>
      <c r="E1149" s="34" t="s">
        <v>72</v>
      </c>
      <c r="F1149" s="35">
        <v>177420</v>
      </c>
      <c r="G1149" s="35">
        <v>7646</v>
      </c>
      <c r="H1149" s="36">
        <v>4.3099999999999999E-2</v>
      </c>
      <c r="I1149" s="37">
        <v>2.42</v>
      </c>
      <c r="J1149" s="37">
        <v>18503.32</v>
      </c>
      <c r="K1149" s="35">
        <v>478</v>
      </c>
      <c r="L1149" s="37">
        <v>38.71</v>
      </c>
      <c r="M1149" s="37">
        <v>110744.54</v>
      </c>
      <c r="N1149" s="38">
        <v>5.99</v>
      </c>
    </row>
    <row r="1150" spans="1:14" x14ac:dyDescent="0.3">
      <c r="A1150" s="33">
        <v>45343</v>
      </c>
      <c r="B1150" s="34" t="s">
        <v>60</v>
      </c>
      <c r="C1150" s="34" t="s">
        <v>61</v>
      </c>
      <c r="D1150" s="34" t="s">
        <v>71</v>
      </c>
      <c r="E1150" s="34" t="s">
        <v>63</v>
      </c>
      <c r="F1150" s="35">
        <v>195067</v>
      </c>
      <c r="G1150" s="35">
        <v>9129</v>
      </c>
      <c r="H1150" s="36">
        <v>4.6800000000000001E-2</v>
      </c>
      <c r="I1150" s="37">
        <v>0.95</v>
      </c>
      <c r="J1150" s="37">
        <v>8672.5499999999993</v>
      </c>
      <c r="K1150" s="35">
        <v>128</v>
      </c>
      <c r="L1150" s="37">
        <v>67.75</v>
      </c>
      <c r="M1150" s="37">
        <v>24006.78</v>
      </c>
      <c r="N1150" s="38">
        <v>2.77</v>
      </c>
    </row>
    <row r="1151" spans="1:14" x14ac:dyDescent="0.3">
      <c r="A1151" s="33">
        <v>45321</v>
      </c>
      <c r="B1151" s="34" t="s">
        <v>60</v>
      </c>
      <c r="C1151" s="34" t="s">
        <v>75</v>
      </c>
      <c r="D1151" s="34" t="s">
        <v>65</v>
      </c>
      <c r="E1151" s="34" t="s">
        <v>69</v>
      </c>
      <c r="F1151" s="35">
        <v>44435</v>
      </c>
      <c r="G1151" s="35">
        <v>1453</v>
      </c>
      <c r="H1151" s="36">
        <v>3.27E-2</v>
      </c>
      <c r="I1151" s="37">
        <v>2.68</v>
      </c>
      <c r="J1151" s="37">
        <v>3894.04</v>
      </c>
      <c r="K1151" s="35">
        <v>48</v>
      </c>
      <c r="L1151" s="37">
        <v>81.13</v>
      </c>
      <c r="M1151" s="37">
        <v>6345.04</v>
      </c>
      <c r="N1151" s="38">
        <v>1.63</v>
      </c>
    </row>
    <row r="1152" spans="1:14" x14ac:dyDescent="0.3">
      <c r="A1152" s="33">
        <v>45386</v>
      </c>
      <c r="B1152" s="34" t="s">
        <v>64</v>
      </c>
      <c r="C1152" s="34" t="s">
        <v>61</v>
      </c>
      <c r="D1152" s="34" t="s">
        <v>71</v>
      </c>
      <c r="E1152" s="34" t="s">
        <v>63</v>
      </c>
      <c r="F1152" s="35">
        <v>57448</v>
      </c>
      <c r="G1152" s="35">
        <v>2338</v>
      </c>
      <c r="H1152" s="36">
        <v>4.07E-2</v>
      </c>
      <c r="I1152" s="37">
        <v>0.5</v>
      </c>
      <c r="J1152" s="37">
        <v>1169</v>
      </c>
      <c r="K1152" s="35">
        <v>143</v>
      </c>
      <c r="L1152" s="37">
        <v>8.17</v>
      </c>
      <c r="M1152" s="37">
        <v>25654.560000000001</v>
      </c>
      <c r="N1152" s="38">
        <v>21.95</v>
      </c>
    </row>
    <row r="1153" spans="1:14" x14ac:dyDescent="0.3">
      <c r="A1153" s="33">
        <v>45297</v>
      </c>
      <c r="B1153" s="34" t="s">
        <v>60</v>
      </c>
      <c r="C1153" s="34" t="s">
        <v>67</v>
      </c>
      <c r="D1153" s="34" t="s">
        <v>76</v>
      </c>
      <c r="E1153" s="34" t="s">
        <v>66</v>
      </c>
      <c r="F1153" s="35">
        <v>139158</v>
      </c>
      <c r="G1153" s="35">
        <v>3061</v>
      </c>
      <c r="H1153" s="36">
        <v>2.1999999999999999E-2</v>
      </c>
      <c r="I1153" s="37">
        <v>1.27</v>
      </c>
      <c r="J1153" s="37">
        <v>3887.47</v>
      </c>
      <c r="K1153" s="35">
        <v>118</v>
      </c>
      <c r="L1153" s="37">
        <v>32.94</v>
      </c>
      <c r="M1153" s="37">
        <v>15835.46</v>
      </c>
      <c r="N1153" s="38">
        <v>4.07</v>
      </c>
    </row>
    <row r="1154" spans="1:14" x14ac:dyDescent="0.3">
      <c r="A1154" s="33">
        <v>45351</v>
      </c>
      <c r="B1154" s="34" t="s">
        <v>74</v>
      </c>
      <c r="C1154" s="34" t="s">
        <v>75</v>
      </c>
      <c r="D1154" s="34" t="s">
        <v>68</v>
      </c>
      <c r="E1154" s="34" t="s">
        <v>72</v>
      </c>
      <c r="F1154" s="35">
        <v>148463</v>
      </c>
      <c r="G1154" s="35">
        <v>4810</v>
      </c>
      <c r="H1154" s="36">
        <v>3.2399999999999998E-2</v>
      </c>
      <c r="I1154" s="37">
        <v>2.11</v>
      </c>
      <c r="J1154" s="37">
        <v>10149.1</v>
      </c>
      <c r="K1154" s="35">
        <v>286</v>
      </c>
      <c r="L1154" s="37">
        <v>35.49</v>
      </c>
      <c r="M1154" s="37">
        <v>68709.259999999995</v>
      </c>
      <c r="N1154" s="38">
        <v>6.77</v>
      </c>
    </row>
    <row r="1155" spans="1:14" x14ac:dyDescent="0.3">
      <c r="A1155" s="33">
        <v>45318</v>
      </c>
      <c r="B1155" s="34" t="s">
        <v>74</v>
      </c>
      <c r="C1155" s="34" t="s">
        <v>61</v>
      </c>
      <c r="D1155" s="34" t="s">
        <v>76</v>
      </c>
      <c r="E1155" s="34" t="s">
        <v>78</v>
      </c>
      <c r="F1155" s="35">
        <v>30123</v>
      </c>
      <c r="G1155" s="35">
        <v>554</v>
      </c>
      <c r="H1155" s="36">
        <v>1.84E-2</v>
      </c>
      <c r="I1155" s="37">
        <v>1.78</v>
      </c>
      <c r="J1155" s="37">
        <v>986.12</v>
      </c>
      <c r="K1155" s="35">
        <v>15</v>
      </c>
      <c r="L1155" s="37">
        <v>65.739999999999995</v>
      </c>
      <c r="M1155" s="37">
        <v>2874.83</v>
      </c>
      <c r="N1155" s="38">
        <v>2.92</v>
      </c>
    </row>
    <row r="1156" spans="1:14" x14ac:dyDescent="0.3">
      <c r="A1156" s="33">
        <v>45296</v>
      </c>
      <c r="B1156" s="34" t="s">
        <v>74</v>
      </c>
      <c r="C1156" s="34" t="s">
        <v>70</v>
      </c>
      <c r="D1156" s="34" t="s">
        <v>76</v>
      </c>
      <c r="E1156" s="34" t="s">
        <v>69</v>
      </c>
      <c r="F1156" s="35">
        <v>139257</v>
      </c>
      <c r="G1156" s="35">
        <v>2631</v>
      </c>
      <c r="H1156" s="36">
        <v>1.89E-2</v>
      </c>
      <c r="I1156" s="37">
        <v>1.61</v>
      </c>
      <c r="J1156" s="37">
        <v>4235.91</v>
      </c>
      <c r="K1156" s="35">
        <v>99</v>
      </c>
      <c r="L1156" s="37">
        <v>42.79</v>
      </c>
      <c r="M1156" s="37">
        <v>9781.2800000000007</v>
      </c>
      <c r="N1156" s="38">
        <v>2.31</v>
      </c>
    </row>
    <row r="1157" spans="1:14" x14ac:dyDescent="0.3">
      <c r="A1157" s="33">
        <v>45479</v>
      </c>
      <c r="B1157" s="34" t="s">
        <v>60</v>
      </c>
      <c r="C1157" s="34" t="s">
        <v>61</v>
      </c>
      <c r="D1157" s="34" t="s">
        <v>68</v>
      </c>
      <c r="E1157" s="34" t="s">
        <v>72</v>
      </c>
      <c r="F1157" s="35">
        <v>103053</v>
      </c>
      <c r="G1157" s="35">
        <v>2607</v>
      </c>
      <c r="H1157" s="36">
        <v>2.53E-2</v>
      </c>
      <c r="I1157" s="37">
        <v>2.19</v>
      </c>
      <c r="J1157" s="37">
        <v>5709.33</v>
      </c>
      <c r="K1157" s="35">
        <v>194</v>
      </c>
      <c r="L1157" s="37">
        <v>29.43</v>
      </c>
      <c r="M1157" s="37">
        <v>39533.49</v>
      </c>
      <c r="N1157" s="38">
        <v>6.92</v>
      </c>
    </row>
    <row r="1158" spans="1:14" x14ac:dyDescent="0.3">
      <c r="A1158" s="33">
        <v>45351</v>
      </c>
      <c r="B1158" s="34" t="s">
        <v>60</v>
      </c>
      <c r="C1158" s="34" t="s">
        <v>75</v>
      </c>
      <c r="D1158" s="34" t="s">
        <v>62</v>
      </c>
      <c r="E1158" s="34" t="s">
        <v>73</v>
      </c>
      <c r="F1158" s="35">
        <v>44140</v>
      </c>
      <c r="G1158" s="35">
        <v>2101</v>
      </c>
      <c r="H1158" s="36">
        <v>4.7600000000000003E-2</v>
      </c>
      <c r="I1158" s="37">
        <v>1.05</v>
      </c>
      <c r="J1158" s="37">
        <v>2206.0500000000002</v>
      </c>
      <c r="K1158" s="35">
        <v>55</v>
      </c>
      <c r="L1158" s="37">
        <v>40.11</v>
      </c>
      <c r="M1158" s="37">
        <v>6735.72</v>
      </c>
      <c r="N1158" s="38">
        <v>3.05</v>
      </c>
    </row>
    <row r="1159" spans="1:14" x14ac:dyDescent="0.3">
      <c r="A1159" s="33">
        <v>45477</v>
      </c>
      <c r="B1159" s="34" t="s">
        <v>74</v>
      </c>
      <c r="C1159" s="34" t="s">
        <v>75</v>
      </c>
      <c r="D1159" s="34" t="s">
        <v>71</v>
      </c>
      <c r="E1159" s="34" t="s">
        <v>77</v>
      </c>
      <c r="F1159" s="35">
        <v>88698</v>
      </c>
      <c r="G1159" s="35">
        <v>1073</v>
      </c>
      <c r="H1159" s="36">
        <v>1.21E-2</v>
      </c>
      <c r="I1159" s="37">
        <v>0.92</v>
      </c>
      <c r="J1159" s="37">
        <v>987.16</v>
      </c>
      <c r="K1159" s="35">
        <v>43</v>
      </c>
      <c r="L1159" s="37">
        <v>22.96</v>
      </c>
      <c r="M1159" s="37">
        <v>5727.99</v>
      </c>
      <c r="N1159" s="38">
        <v>5.8</v>
      </c>
    </row>
    <row r="1160" spans="1:14" x14ac:dyDescent="0.3">
      <c r="A1160" s="33">
        <v>45303</v>
      </c>
      <c r="B1160" s="34" t="s">
        <v>74</v>
      </c>
      <c r="C1160" s="34" t="s">
        <v>75</v>
      </c>
      <c r="D1160" s="34" t="s">
        <v>65</v>
      </c>
      <c r="E1160" s="34" t="s">
        <v>73</v>
      </c>
      <c r="F1160" s="35">
        <v>182011</v>
      </c>
      <c r="G1160" s="35">
        <v>1911</v>
      </c>
      <c r="H1160" s="36">
        <v>1.0500000000000001E-2</v>
      </c>
      <c r="I1160" s="37">
        <v>0.55000000000000004</v>
      </c>
      <c r="J1160" s="37">
        <v>1051.05</v>
      </c>
      <c r="K1160" s="35">
        <v>35</v>
      </c>
      <c r="L1160" s="37">
        <v>30.03</v>
      </c>
      <c r="M1160" s="37">
        <v>3848.31</v>
      </c>
      <c r="N1160" s="38">
        <v>3.66</v>
      </c>
    </row>
    <row r="1161" spans="1:14" x14ac:dyDescent="0.3">
      <c r="A1161" s="33">
        <v>45311</v>
      </c>
      <c r="B1161" s="34" t="s">
        <v>64</v>
      </c>
      <c r="C1161" s="34" t="s">
        <v>75</v>
      </c>
      <c r="D1161" s="34" t="s">
        <v>62</v>
      </c>
      <c r="E1161" s="34" t="s">
        <v>77</v>
      </c>
      <c r="F1161" s="35">
        <v>29180</v>
      </c>
      <c r="G1161" s="35">
        <v>1464</v>
      </c>
      <c r="H1161" s="36">
        <v>5.0200000000000002E-2</v>
      </c>
      <c r="I1161" s="37">
        <v>0.53</v>
      </c>
      <c r="J1161" s="37">
        <v>775.92</v>
      </c>
      <c r="K1161" s="35">
        <v>59</v>
      </c>
      <c r="L1161" s="37">
        <v>13.15</v>
      </c>
      <c r="M1161" s="37">
        <v>11729.57</v>
      </c>
      <c r="N1161" s="38">
        <v>15.12</v>
      </c>
    </row>
    <row r="1162" spans="1:14" x14ac:dyDescent="0.3">
      <c r="A1162" s="33">
        <v>45304</v>
      </c>
      <c r="B1162" s="34" t="s">
        <v>74</v>
      </c>
      <c r="C1162" s="34" t="s">
        <v>67</v>
      </c>
      <c r="D1162" s="34" t="s">
        <v>76</v>
      </c>
      <c r="E1162" s="34" t="s">
        <v>66</v>
      </c>
      <c r="F1162" s="35">
        <v>138686</v>
      </c>
      <c r="G1162" s="35">
        <v>2621</v>
      </c>
      <c r="H1162" s="36">
        <v>1.89E-2</v>
      </c>
      <c r="I1162" s="37">
        <v>1.52</v>
      </c>
      <c r="J1162" s="37">
        <v>3983.92</v>
      </c>
      <c r="K1162" s="35">
        <v>195</v>
      </c>
      <c r="L1162" s="37">
        <v>20.43</v>
      </c>
      <c r="M1162" s="37">
        <v>52398.49</v>
      </c>
      <c r="N1162" s="38">
        <v>13.15</v>
      </c>
    </row>
    <row r="1163" spans="1:14" x14ac:dyDescent="0.3">
      <c r="A1163" s="33">
        <v>45557</v>
      </c>
      <c r="B1163" s="34" t="s">
        <v>60</v>
      </c>
      <c r="C1163" s="34" t="s">
        <v>61</v>
      </c>
      <c r="D1163" s="34" t="s">
        <v>62</v>
      </c>
      <c r="E1163" s="34" t="s">
        <v>77</v>
      </c>
      <c r="F1163" s="35">
        <v>181976</v>
      </c>
      <c r="G1163" s="35">
        <v>7752</v>
      </c>
      <c r="H1163" s="36">
        <v>4.2599999999999999E-2</v>
      </c>
      <c r="I1163" s="37">
        <v>1.72</v>
      </c>
      <c r="J1163" s="37">
        <v>13333.44</v>
      </c>
      <c r="K1163" s="35">
        <v>255</v>
      </c>
      <c r="L1163" s="37">
        <v>52.29</v>
      </c>
      <c r="M1163" s="37">
        <v>75491.87</v>
      </c>
      <c r="N1163" s="38">
        <v>5.66</v>
      </c>
    </row>
    <row r="1164" spans="1:14" x14ac:dyDescent="0.3">
      <c r="A1164" s="33">
        <v>45636</v>
      </c>
      <c r="B1164" s="34" t="s">
        <v>60</v>
      </c>
      <c r="C1164" s="34" t="s">
        <v>70</v>
      </c>
      <c r="D1164" s="34" t="s">
        <v>68</v>
      </c>
      <c r="E1164" s="34" t="s">
        <v>66</v>
      </c>
      <c r="F1164" s="35">
        <v>103902</v>
      </c>
      <c r="G1164" s="35">
        <v>3927</v>
      </c>
      <c r="H1164" s="36">
        <v>3.78E-2</v>
      </c>
      <c r="I1164" s="37">
        <v>1.1599999999999999</v>
      </c>
      <c r="J1164" s="37">
        <v>4555.32</v>
      </c>
      <c r="K1164" s="35">
        <v>215</v>
      </c>
      <c r="L1164" s="37">
        <v>21.19</v>
      </c>
      <c r="M1164" s="37">
        <v>37434.379999999997</v>
      </c>
      <c r="N1164" s="38">
        <v>8.2200000000000006</v>
      </c>
    </row>
    <row r="1165" spans="1:14" x14ac:dyDescent="0.3">
      <c r="A1165" s="33">
        <v>45387</v>
      </c>
      <c r="B1165" s="34" t="s">
        <v>64</v>
      </c>
      <c r="C1165" s="34" t="s">
        <v>75</v>
      </c>
      <c r="D1165" s="34" t="s">
        <v>71</v>
      </c>
      <c r="E1165" s="34" t="s">
        <v>73</v>
      </c>
      <c r="F1165" s="35">
        <v>132081</v>
      </c>
      <c r="G1165" s="35">
        <v>10051</v>
      </c>
      <c r="H1165" s="36">
        <v>7.6100000000000001E-2</v>
      </c>
      <c r="I1165" s="37">
        <v>0.71</v>
      </c>
      <c r="J1165" s="37">
        <v>7136.21</v>
      </c>
      <c r="K1165" s="35">
        <v>229</v>
      </c>
      <c r="L1165" s="37">
        <v>31.16</v>
      </c>
      <c r="M1165" s="37">
        <v>62261.45</v>
      </c>
      <c r="N1165" s="38">
        <v>8.7200000000000006</v>
      </c>
    </row>
    <row r="1166" spans="1:14" x14ac:dyDescent="0.3">
      <c r="A1166" s="33">
        <v>45430</v>
      </c>
      <c r="B1166" s="34" t="s">
        <v>74</v>
      </c>
      <c r="C1166" s="34" t="s">
        <v>67</v>
      </c>
      <c r="D1166" s="34" t="s">
        <v>76</v>
      </c>
      <c r="E1166" s="34" t="s">
        <v>66</v>
      </c>
      <c r="F1166" s="35">
        <v>25077</v>
      </c>
      <c r="G1166" s="35">
        <v>341</v>
      </c>
      <c r="H1166" s="36">
        <v>1.3599999999999999E-2</v>
      </c>
      <c r="I1166" s="37">
        <v>0.42</v>
      </c>
      <c r="J1166" s="37">
        <v>143.22</v>
      </c>
      <c r="K1166" s="35">
        <v>5</v>
      </c>
      <c r="L1166" s="37">
        <v>28.64</v>
      </c>
      <c r="M1166" s="37">
        <v>779.52</v>
      </c>
      <c r="N1166" s="38">
        <v>5.44</v>
      </c>
    </row>
    <row r="1167" spans="1:14" x14ac:dyDescent="0.3">
      <c r="A1167" s="33">
        <v>45398</v>
      </c>
      <c r="B1167" s="34" t="s">
        <v>74</v>
      </c>
      <c r="C1167" s="34" t="s">
        <v>67</v>
      </c>
      <c r="D1167" s="34" t="s">
        <v>76</v>
      </c>
      <c r="E1167" s="34" t="s">
        <v>63</v>
      </c>
      <c r="F1167" s="35">
        <v>113987</v>
      </c>
      <c r="G1167" s="35">
        <v>3579</v>
      </c>
      <c r="H1167" s="36">
        <v>3.1399999999999997E-2</v>
      </c>
      <c r="I1167" s="37">
        <v>0.76</v>
      </c>
      <c r="J1167" s="37">
        <v>2720.04</v>
      </c>
      <c r="K1167" s="35">
        <v>229</v>
      </c>
      <c r="L1167" s="37">
        <v>11.88</v>
      </c>
      <c r="M1167" s="37">
        <v>31787.48</v>
      </c>
      <c r="N1167" s="38">
        <v>11.69</v>
      </c>
    </row>
    <row r="1168" spans="1:14" x14ac:dyDescent="0.3">
      <c r="A1168" s="33">
        <v>45371</v>
      </c>
      <c r="B1168" s="34" t="s">
        <v>74</v>
      </c>
      <c r="C1168" s="34" t="s">
        <v>70</v>
      </c>
      <c r="D1168" s="34" t="s">
        <v>62</v>
      </c>
      <c r="E1168" s="34" t="s">
        <v>73</v>
      </c>
      <c r="F1168" s="35">
        <v>14705</v>
      </c>
      <c r="G1168" s="35">
        <v>363</v>
      </c>
      <c r="H1168" s="36">
        <v>2.47E-2</v>
      </c>
      <c r="I1168" s="37">
        <v>0.94</v>
      </c>
      <c r="J1168" s="37">
        <v>341.22</v>
      </c>
      <c r="K1168" s="35">
        <v>4</v>
      </c>
      <c r="L1168" s="37">
        <v>85.31</v>
      </c>
      <c r="M1168" s="37">
        <v>738.37</v>
      </c>
      <c r="N1168" s="38">
        <v>2.16</v>
      </c>
    </row>
    <row r="1169" spans="1:14" x14ac:dyDescent="0.3">
      <c r="A1169" s="33">
        <v>45445</v>
      </c>
      <c r="B1169" s="34" t="s">
        <v>60</v>
      </c>
      <c r="C1169" s="34" t="s">
        <v>61</v>
      </c>
      <c r="D1169" s="34" t="s">
        <v>65</v>
      </c>
      <c r="E1169" s="34" t="s">
        <v>69</v>
      </c>
      <c r="F1169" s="35">
        <v>16955</v>
      </c>
      <c r="G1169" s="35">
        <v>440</v>
      </c>
      <c r="H1169" s="36">
        <v>2.5999999999999999E-2</v>
      </c>
      <c r="I1169" s="37">
        <v>1.82</v>
      </c>
      <c r="J1169" s="37">
        <v>800.8</v>
      </c>
      <c r="K1169" s="35">
        <v>30</v>
      </c>
      <c r="L1169" s="37">
        <v>26.69</v>
      </c>
      <c r="M1169" s="37">
        <v>3274.44</v>
      </c>
      <c r="N1169" s="38">
        <v>4.09</v>
      </c>
    </row>
    <row r="1170" spans="1:14" x14ac:dyDescent="0.3">
      <c r="A1170" s="33">
        <v>45557</v>
      </c>
      <c r="B1170" s="34" t="s">
        <v>74</v>
      </c>
      <c r="C1170" s="34" t="s">
        <v>75</v>
      </c>
      <c r="D1170" s="34" t="s">
        <v>76</v>
      </c>
      <c r="E1170" s="34" t="s">
        <v>77</v>
      </c>
      <c r="F1170" s="35">
        <v>127082</v>
      </c>
      <c r="G1170" s="35">
        <v>2452</v>
      </c>
      <c r="H1170" s="36">
        <v>1.9300000000000001E-2</v>
      </c>
      <c r="I1170" s="37">
        <v>2.1800000000000002</v>
      </c>
      <c r="J1170" s="37">
        <v>5345.36</v>
      </c>
      <c r="K1170" s="35">
        <v>53</v>
      </c>
      <c r="L1170" s="37">
        <v>100.86</v>
      </c>
      <c r="M1170" s="37">
        <v>8408.4500000000007</v>
      </c>
      <c r="N1170" s="38">
        <v>1.57</v>
      </c>
    </row>
    <row r="1171" spans="1:14" x14ac:dyDescent="0.3">
      <c r="A1171" s="33">
        <v>45335</v>
      </c>
      <c r="B1171" s="34" t="s">
        <v>74</v>
      </c>
      <c r="C1171" s="34" t="s">
        <v>67</v>
      </c>
      <c r="D1171" s="34" t="s">
        <v>76</v>
      </c>
      <c r="E1171" s="34" t="s">
        <v>77</v>
      </c>
      <c r="F1171" s="35">
        <v>57299</v>
      </c>
      <c r="G1171" s="35">
        <v>1186</v>
      </c>
      <c r="H1171" s="36">
        <v>2.07E-2</v>
      </c>
      <c r="I1171" s="37">
        <v>1.35</v>
      </c>
      <c r="J1171" s="37">
        <v>1601.1</v>
      </c>
      <c r="K1171" s="35">
        <v>25</v>
      </c>
      <c r="L1171" s="37">
        <v>64.040000000000006</v>
      </c>
      <c r="M1171" s="37">
        <v>5383.27</v>
      </c>
      <c r="N1171" s="38">
        <v>3.36</v>
      </c>
    </row>
    <row r="1172" spans="1:14" x14ac:dyDescent="0.3">
      <c r="A1172" s="33">
        <v>45462</v>
      </c>
      <c r="B1172" s="34" t="s">
        <v>74</v>
      </c>
      <c r="C1172" s="34" t="s">
        <v>70</v>
      </c>
      <c r="D1172" s="34" t="s">
        <v>62</v>
      </c>
      <c r="E1172" s="34" t="s">
        <v>78</v>
      </c>
      <c r="F1172" s="35">
        <v>134986</v>
      </c>
      <c r="G1172" s="35">
        <v>4346</v>
      </c>
      <c r="H1172" s="36">
        <v>3.2199999999999999E-2</v>
      </c>
      <c r="I1172" s="37">
        <v>1.63</v>
      </c>
      <c r="J1172" s="37">
        <v>7083.98</v>
      </c>
      <c r="K1172" s="35">
        <v>149</v>
      </c>
      <c r="L1172" s="37">
        <v>47.54</v>
      </c>
      <c r="M1172" s="37">
        <v>28100.44</v>
      </c>
      <c r="N1172" s="38">
        <v>3.97</v>
      </c>
    </row>
    <row r="1173" spans="1:14" x14ac:dyDescent="0.3">
      <c r="A1173" s="33">
        <v>45495</v>
      </c>
      <c r="B1173" s="34" t="s">
        <v>60</v>
      </c>
      <c r="C1173" s="34" t="s">
        <v>75</v>
      </c>
      <c r="D1173" s="34" t="s">
        <v>76</v>
      </c>
      <c r="E1173" s="34" t="s">
        <v>78</v>
      </c>
      <c r="F1173" s="35">
        <v>12546</v>
      </c>
      <c r="G1173" s="35">
        <v>725</v>
      </c>
      <c r="H1173" s="36">
        <v>5.7799999999999997E-2</v>
      </c>
      <c r="I1173" s="37">
        <v>1.45</v>
      </c>
      <c r="J1173" s="37">
        <v>1051.25</v>
      </c>
      <c r="K1173" s="35">
        <v>43</v>
      </c>
      <c r="L1173" s="37">
        <v>24.45</v>
      </c>
      <c r="M1173" s="37">
        <v>2269.7800000000002</v>
      </c>
      <c r="N1173" s="38">
        <v>2.16</v>
      </c>
    </row>
    <row r="1174" spans="1:14" x14ac:dyDescent="0.3">
      <c r="A1174" s="33">
        <v>45439</v>
      </c>
      <c r="B1174" s="34" t="s">
        <v>60</v>
      </c>
      <c r="C1174" s="34" t="s">
        <v>61</v>
      </c>
      <c r="D1174" s="34" t="s">
        <v>62</v>
      </c>
      <c r="E1174" s="34" t="s">
        <v>73</v>
      </c>
      <c r="F1174" s="35">
        <v>161554</v>
      </c>
      <c r="G1174" s="35">
        <v>6252</v>
      </c>
      <c r="H1174" s="36">
        <v>3.8699999999999998E-2</v>
      </c>
      <c r="I1174" s="37">
        <v>3.05</v>
      </c>
      <c r="J1174" s="37">
        <v>19068.599999999999</v>
      </c>
      <c r="K1174" s="35">
        <v>361</v>
      </c>
      <c r="L1174" s="37">
        <v>52.82</v>
      </c>
      <c r="M1174" s="37">
        <v>57767.01</v>
      </c>
      <c r="N1174" s="38">
        <v>3.03</v>
      </c>
    </row>
    <row r="1175" spans="1:14" x14ac:dyDescent="0.3">
      <c r="A1175" s="33">
        <v>45316</v>
      </c>
      <c r="B1175" s="34" t="s">
        <v>74</v>
      </c>
      <c r="C1175" s="34" t="s">
        <v>61</v>
      </c>
      <c r="D1175" s="34" t="s">
        <v>68</v>
      </c>
      <c r="E1175" s="34" t="s">
        <v>77</v>
      </c>
      <c r="F1175" s="35">
        <v>27499</v>
      </c>
      <c r="G1175" s="35">
        <v>728</v>
      </c>
      <c r="H1175" s="36">
        <v>2.6499999999999999E-2</v>
      </c>
      <c r="I1175" s="37">
        <v>1.07</v>
      </c>
      <c r="J1175" s="37">
        <v>778.96</v>
      </c>
      <c r="K1175" s="35">
        <v>17</v>
      </c>
      <c r="L1175" s="37">
        <v>45.82</v>
      </c>
      <c r="M1175" s="37">
        <v>3860.75</v>
      </c>
      <c r="N1175" s="38">
        <v>4.96</v>
      </c>
    </row>
    <row r="1176" spans="1:14" x14ac:dyDescent="0.3">
      <c r="A1176" s="33">
        <v>45646</v>
      </c>
      <c r="B1176" s="34" t="s">
        <v>64</v>
      </c>
      <c r="C1176" s="34" t="s">
        <v>75</v>
      </c>
      <c r="D1176" s="34" t="s">
        <v>65</v>
      </c>
      <c r="E1176" s="34" t="s">
        <v>77</v>
      </c>
      <c r="F1176" s="35">
        <v>153936</v>
      </c>
      <c r="G1176" s="35">
        <v>5895</v>
      </c>
      <c r="H1176" s="36">
        <v>3.8300000000000001E-2</v>
      </c>
      <c r="I1176" s="37">
        <v>0.89</v>
      </c>
      <c r="J1176" s="37">
        <v>5246.55</v>
      </c>
      <c r="K1176" s="35">
        <v>373</v>
      </c>
      <c r="L1176" s="37">
        <v>14.07</v>
      </c>
      <c r="M1176" s="37">
        <v>85268.07</v>
      </c>
      <c r="N1176" s="38">
        <v>16.25</v>
      </c>
    </row>
    <row r="1177" spans="1:14" x14ac:dyDescent="0.3">
      <c r="A1177" s="33">
        <v>45389</v>
      </c>
      <c r="B1177" s="34" t="s">
        <v>64</v>
      </c>
      <c r="C1177" s="34" t="s">
        <v>75</v>
      </c>
      <c r="D1177" s="34" t="s">
        <v>76</v>
      </c>
      <c r="E1177" s="34" t="s">
        <v>72</v>
      </c>
      <c r="F1177" s="35">
        <v>41232</v>
      </c>
      <c r="G1177" s="35">
        <v>1859</v>
      </c>
      <c r="H1177" s="36">
        <v>4.5100000000000001E-2</v>
      </c>
      <c r="I1177" s="37">
        <v>1.06</v>
      </c>
      <c r="J1177" s="37">
        <v>1970.54</v>
      </c>
      <c r="K1177" s="35">
        <v>126</v>
      </c>
      <c r="L1177" s="37">
        <v>15.64</v>
      </c>
      <c r="M1177" s="37">
        <v>22069.99</v>
      </c>
      <c r="N1177" s="38">
        <v>11.2</v>
      </c>
    </row>
    <row r="1178" spans="1:14" x14ac:dyDescent="0.3">
      <c r="A1178" s="33">
        <v>45338</v>
      </c>
      <c r="B1178" s="34" t="s">
        <v>74</v>
      </c>
      <c r="C1178" s="34" t="s">
        <v>67</v>
      </c>
      <c r="D1178" s="34" t="s">
        <v>68</v>
      </c>
      <c r="E1178" s="34" t="s">
        <v>73</v>
      </c>
      <c r="F1178" s="35">
        <v>133088</v>
      </c>
      <c r="G1178" s="35">
        <v>5243</v>
      </c>
      <c r="H1178" s="36">
        <v>3.9399999999999998E-2</v>
      </c>
      <c r="I1178" s="37">
        <v>1.68</v>
      </c>
      <c r="J1178" s="37">
        <v>8808.24</v>
      </c>
      <c r="K1178" s="35">
        <v>226</v>
      </c>
      <c r="L1178" s="37">
        <v>38.97</v>
      </c>
      <c r="M1178" s="37">
        <v>48389.85</v>
      </c>
      <c r="N1178" s="38">
        <v>5.49</v>
      </c>
    </row>
    <row r="1179" spans="1:14" x14ac:dyDescent="0.3">
      <c r="A1179" s="33">
        <v>45400</v>
      </c>
      <c r="B1179" s="34" t="s">
        <v>74</v>
      </c>
      <c r="C1179" s="34" t="s">
        <v>61</v>
      </c>
      <c r="D1179" s="34" t="s">
        <v>71</v>
      </c>
      <c r="E1179" s="34" t="s">
        <v>78</v>
      </c>
      <c r="F1179" s="35">
        <v>33082</v>
      </c>
      <c r="G1179" s="35">
        <v>340</v>
      </c>
      <c r="H1179" s="36">
        <v>1.03E-2</v>
      </c>
      <c r="I1179" s="37">
        <v>1.86</v>
      </c>
      <c r="J1179" s="37">
        <v>632.4</v>
      </c>
      <c r="K1179" s="35">
        <v>9</v>
      </c>
      <c r="L1179" s="37">
        <v>70.27</v>
      </c>
      <c r="M1179" s="37">
        <v>2116.06</v>
      </c>
      <c r="N1179" s="38">
        <v>3.35</v>
      </c>
    </row>
    <row r="1180" spans="1:14" x14ac:dyDescent="0.3">
      <c r="A1180" s="33">
        <v>45398</v>
      </c>
      <c r="B1180" s="34" t="s">
        <v>74</v>
      </c>
      <c r="C1180" s="34" t="s">
        <v>75</v>
      </c>
      <c r="D1180" s="34" t="s">
        <v>62</v>
      </c>
      <c r="E1180" s="34" t="s">
        <v>72</v>
      </c>
      <c r="F1180" s="35">
        <v>179504</v>
      </c>
      <c r="G1180" s="35">
        <v>5026</v>
      </c>
      <c r="H1180" s="36">
        <v>2.8000000000000001E-2</v>
      </c>
      <c r="I1180" s="37">
        <v>1.1100000000000001</v>
      </c>
      <c r="J1180" s="37">
        <v>5578.86</v>
      </c>
      <c r="K1180" s="35">
        <v>203</v>
      </c>
      <c r="L1180" s="37">
        <v>27.48</v>
      </c>
      <c r="M1180" s="37">
        <v>10121.879999999999</v>
      </c>
      <c r="N1180" s="38">
        <v>1.81</v>
      </c>
    </row>
    <row r="1181" spans="1:14" x14ac:dyDescent="0.3">
      <c r="A1181" s="33">
        <v>45454</v>
      </c>
      <c r="B1181" s="34" t="s">
        <v>74</v>
      </c>
      <c r="C1181" s="34" t="s">
        <v>70</v>
      </c>
      <c r="D1181" s="34" t="s">
        <v>68</v>
      </c>
      <c r="E1181" s="34" t="s">
        <v>69</v>
      </c>
      <c r="F1181" s="35">
        <v>16344</v>
      </c>
      <c r="G1181" s="35">
        <v>534</v>
      </c>
      <c r="H1181" s="36">
        <v>3.27E-2</v>
      </c>
      <c r="I1181" s="37">
        <v>0.9</v>
      </c>
      <c r="J1181" s="37">
        <v>480.6</v>
      </c>
      <c r="K1181" s="35">
        <v>11</v>
      </c>
      <c r="L1181" s="37">
        <v>43.69</v>
      </c>
      <c r="M1181" s="37">
        <v>465.35</v>
      </c>
      <c r="N1181" s="38">
        <v>0.97</v>
      </c>
    </row>
    <row r="1182" spans="1:14" x14ac:dyDescent="0.3">
      <c r="A1182" s="33">
        <v>45356</v>
      </c>
      <c r="B1182" s="34" t="s">
        <v>64</v>
      </c>
      <c r="C1182" s="34" t="s">
        <v>75</v>
      </c>
      <c r="D1182" s="34" t="s">
        <v>76</v>
      </c>
      <c r="E1182" s="34" t="s">
        <v>73</v>
      </c>
      <c r="F1182" s="35">
        <v>196312</v>
      </c>
      <c r="G1182" s="35">
        <v>12642</v>
      </c>
      <c r="H1182" s="36">
        <v>6.4399999999999999E-2</v>
      </c>
      <c r="I1182" s="37">
        <v>1.28</v>
      </c>
      <c r="J1182" s="37">
        <v>16181.76</v>
      </c>
      <c r="K1182" s="35">
        <v>584</v>
      </c>
      <c r="L1182" s="37">
        <v>27.71</v>
      </c>
      <c r="M1182" s="37">
        <v>148695.91</v>
      </c>
      <c r="N1182" s="38">
        <v>9.19</v>
      </c>
    </row>
    <row r="1183" spans="1:14" x14ac:dyDescent="0.3">
      <c r="A1183" s="33">
        <v>45596</v>
      </c>
      <c r="B1183" s="34" t="s">
        <v>64</v>
      </c>
      <c r="C1183" s="34" t="s">
        <v>70</v>
      </c>
      <c r="D1183" s="34" t="s">
        <v>76</v>
      </c>
      <c r="E1183" s="34" t="s">
        <v>69</v>
      </c>
      <c r="F1183" s="35">
        <v>17626</v>
      </c>
      <c r="G1183" s="35">
        <v>1113</v>
      </c>
      <c r="H1183" s="36">
        <v>6.3200000000000006E-2</v>
      </c>
      <c r="I1183" s="37">
        <v>0.54</v>
      </c>
      <c r="J1183" s="37">
        <v>601.02</v>
      </c>
      <c r="K1183" s="35">
        <v>50</v>
      </c>
      <c r="L1183" s="37">
        <v>12.02</v>
      </c>
      <c r="M1183" s="37">
        <v>2568.5100000000002</v>
      </c>
      <c r="N1183" s="38">
        <v>4.2699999999999996</v>
      </c>
    </row>
    <row r="1184" spans="1:14" x14ac:dyDescent="0.3">
      <c r="A1184" s="33">
        <v>45434</v>
      </c>
      <c r="B1184" s="34" t="s">
        <v>74</v>
      </c>
      <c r="C1184" s="34" t="s">
        <v>70</v>
      </c>
      <c r="D1184" s="34" t="s">
        <v>71</v>
      </c>
      <c r="E1184" s="34" t="s">
        <v>72</v>
      </c>
      <c r="F1184" s="35">
        <v>46603</v>
      </c>
      <c r="G1184" s="35">
        <v>955</v>
      </c>
      <c r="H1184" s="36">
        <v>2.0500000000000001E-2</v>
      </c>
      <c r="I1184" s="37">
        <v>0.69</v>
      </c>
      <c r="J1184" s="37">
        <v>658.95</v>
      </c>
      <c r="K1184" s="35">
        <v>23</v>
      </c>
      <c r="L1184" s="37">
        <v>28.65</v>
      </c>
      <c r="M1184" s="37">
        <v>2614.4899999999998</v>
      </c>
      <c r="N1184" s="38">
        <v>3.97</v>
      </c>
    </row>
    <row r="1185" spans="1:14" x14ac:dyDescent="0.3">
      <c r="A1185" s="33">
        <v>45319</v>
      </c>
      <c r="B1185" s="34" t="s">
        <v>74</v>
      </c>
      <c r="C1185" s="34" t="s">
        <v>61</v>
      </c>
      <c r="D1185" s="34" t="s">
        <v>65</v>
      </c>
      <c r="E1185" s="34" t="s">
        <v>63</v>
      </c>
      <c r="F1185" s="35">
        <v>113878</v>
      </c>
      <c r="G1185" s="35">
        <v>3678</v>
      </c>
      <c r="H1185" s="36">
        <v>3.2300000000000002E-2</v>
      </c>
      <c r="I1185" s="37">
        <v>0.92</v>
      </c>
      <c r="J1185" s="37">
        <v>3383.76</v>
      </c>
      <c r="K1185" s="35">
        <v>216</v>
      </c>
      <c r="L1185" s="37">
        <v>15.67</v>
      </c>
      <c r="M1185" s="37">
        <v>62162.63</v>
      </c>
      <c r="N1185" s="38">
        <v>18.37</v>
      </c>
    </row>
    <row r="1186" spans="1:14" x14ac:dyDescent="0.3">
      <c r="A1186" s="33">
        <v>45436</v>
      </c>
      <c r="B1186" s="34" t="s">
        <v>74</v>
      </c>
      <c r="C1186" s="34" t="s">
        <v>75</v>
      </c>
      <c r="D1186" s="34" t="s">
        <v>76</v>
      </c>
      <c r="E1186" s="34" t="s">
        <v>73</v>
      </c>
      <c r="F1186" s="35">
        <v>196354</v>
      </c>
      <c r="G1186" s="35">
        <v>2945</v>
      </c>
      <c r="H1186" s="36">
        <v>1.4999999999999999E-2</v>
      </c>
      <c r="I1186" s="37">
        <v>1.1100000000000001</v>
      </c>
      <c r="J1186" s="37">
        <v>3268.95</v>
      </c>
      <c r="K1186" s="35">
        <v>177</v>
      </c>
      <c r="L1186" s="37">
        <v>18.47</v>
      </c>
      <c r="M1186" s="37">
        <v>7478.3</v>
      </c>
      <c r="N1186" s="38">
        <v>2.29</v>
      </c>
    </row>
    <row r="1187" spans="1:14" x14ac:dyDescent="0.3">
      <c r="A1187" s="33">
        <v>45498</v>
      </c>
      <c r="B1187" s="34" t="s">
        <v>74</v>
      </c>
      <c r="C1187" s="34" t="s">
        <v>67</v>
      </c>
      <c r="D1187" s="34" t="s">
        <v>65</v>
      </c>
      <c r="E1187" s="34" t="s">
        <v>78</v>
      </c>
      <c r="F1187" s="35">
        <v>62194</v>
      </c>
      <c r="G1187" s="35">
        <v>2039</v>
      </c>
      <c r="H1187" s="36">
        <v>3.2800000000000003E-2</v>
      </c>
      <c r="I1187" s="37">
        <v>1.84</v>
      </c>
      <c r="J1187" s="37">
        <v>3751.76</v>
      </c>
      <c r="K1187" s="35">
        <v>129</v>
      </c>
      <c r="L1187" s="37">
        <v>29.08</v>
      </c>
      <c r="M1187" s="37">
        <v>23854.38</v>
      </c>
      <c r="N1187" s="38">
        <v>6.36</v>
      </c>
    </row>
    <row r="1188" spans="1:14" x14ac:dyDescent="0.3">
      <c r="A1188" s="33">
        <v>45613</v>
      </c>
      <c r="B1188" s="34" t="s">
        <v>64</v>
      </c>
      <c r="C1188" s="34" t="s">
        <v>70</v>
      </c>
      <c r="D1188" s="34" t="s">
        <v>68</v>
      </c>
      <c r="E1188" s="34" t="s">
        <v>72</v>
      </c>
      <c r="F1188" s="35">
        <v>56069</v>
      </c>
      <c r="G1188" s="35">
        <v>2949</v>
      </c>
      <c r="H1188" s="36">
        <v>5.2600000000000001E-2</v>
      </c>
      <c r="I1188" s="37">
        <v>0.85</v>
      </c>
      <c r="J1188" s="37">
        <v>2506.65</v>
      </c>
      <c r="K1188" s="35">
        <v>150</v>
      </c>
      <c r="L1188" s="37">
        <v>16.71</v>
      </c>
      <c r="M1188" s="37">
        <v>29064.28</v>
      </c>
      <c r="N1188" s="38">
        <v>11.59</v>
      </c>
    </row>
    <row r="1189" spans="1:14" x14ac:dyDescent="0.3">
      <c r="A1189" s="33">
        <v>45491</v>
      </c>
      <c r="B1189" s="34" t="s">
        <v>74</v>
      </c>
      <c r="C1189" s="34" t="s">
        <v>61</v>
      </c>
      <c r="D1189" s="34" t="s">
        <v>65</v>
      </c>
      <c r="E1189" s="34" t="s">
        <v>63</v>
      </c>
      <c r="F1189" s="35">
        <v>18706</v>
      </c>
      <c r="G1189" s="35">
        <v>458</v>
      </c>
      <c r="H1189" s="36">
        <v>2.4500000000000001E-2</v>
      </c>
      <c r="I1189" s="37">
        <v>0.44</v>
      </c>
      <c r="J1189" s="37">
        <v>201.52</v>
      </c>
      <c r="K1189" s="35">
        <v>35</v>
      </c>
      <c r="L1189" s="37">
        <v>5.76</v>
      </c>
      <c r="M1189" s="37">
        <v>7330.28</v>
      </c>
      <c r="N1189" s="38">
        <v>36.369999999999997</v>
      </c>
    </row>
    <row r="1190" spans="1:14" x14ac:dyDescent="0.3">
      <c r="A1190" s="33">
        <v>45373</v>
      </c>
      <c r="B1190" s="34" t="s">
        <v>64</v>
      </c>
      <c r="C1190" s="34" t="s">
        <v>67</v>
      </c>
      <c r="D1190" s="34" t="s">
        <v>71</v>
      </c>
      <c r="E1190" s="34" t="s">
        <v>73</v>
      </c>
      <c r="F1190" s="35">
        <v>49390</v>
      </c>
      <c r="G1190" s="35">
        <v>3368</v>
      </c>
      <c r="H1190" s="36">
        <v>6.8199999999999997E-2</v>
      </c>
      <c r="I1190" s="37">
        <v>1.65</v>
      </c>
      <c r="J1190" s="37">
        <v>5557.2</v>
      </c>
      <c r="K1190" s="35">
        <v>195</v>
      </c>
      <c r="L1190" s="37">
        <v>28.5</v>
      </c>
      <c r="M1190" s="37">
        <v>57395.9</v>
      </c>
      <c r="N1190" s="38">
        <v>10.33</v>
      </c>
    </row>
    <row r="1191" spans="1:14" x14ac:dyDescent="0.3">
      <c r="A1191" s="33">
        <v>45492</v>
      </c>
      <c r="B1191" s="34" t="s">
        <v>60</v>
      </c>
      <c r="C1191" s="34" t="s">
        <v>70</v>
      </c>
      <c r="D1191" s="34" t="s">
        <v>62</v>
      </c>
      <c r="E1191" s="34" t="s">
        <v>77</v>
      </c>
      <c r="F1191" s="35">
        <v>23773</v>
      </c>
      <c r="G1191" s="35">
        <v>461</v>
      </c>
      <c r="H1191" s="36">
        <v>1.9400000000000001E-2</v>
      </c>
      <c r="I1191" s="37">
        <v>1.6</v>
      </c>
      <c r="J1191" s="37">
        <v>737.6</v>
      </c>
      <c r="K1191" s="35">
        <v>5</v>
      </c>
      <c r="L1191" s="37">
        <v>147.52000000000001</v>
      </c>
      <c r="M1191" s="37">
        <v>642.97</v>
      </c>
      <c r="N1191" s="38">
        <v>0.87</v>
      </c>
    </row>
    <row r="1192" spans="1:14" x14ac:dyDescent="0.3">
      <c r="A1192" s="33">
        <v>45538</v>
      </c>
      <c r="B1192" s="34" t="s">
        <v>74</v>
      </c>
      <c r="C1192" s="34" t="s">
        <v>61</v>
      </c>
      <c r="D1192" s="34" t="s">
        <v>76</v>
      </c>
      <c r="E1192" s="34" t="s">
        <v>73</v>
      </c>
      <c r="F1192" s="35">
        <v>19959</v>
      </c>
      <c r="G1192" s="35">
        <v>586</v>
      </c>
      <c r="H1192" s="36">
        <v>2.9399999999999999E-2</v>
      </c>
      <c r="I1192" s="37">
        <v>1.99</v>
      </c>
      <c r="J1192" s="37">
        <v>1166.1400000000001</v>
      </c>
      <c r="K1192" s="35">
        <v>17</v>
      </c>
      <c r="L1192" s="37">
        <v>68.599999999999994</v>
      </c>
      <c r="M1192" s="37">
        <v>4432.12</v>
      </c>
      <c r="N1192" s="38">
        <v>3.8</v>
      </c>
    </row>
    <row r="1193" spans="1:14" x14ac:dyDescent="0.3">
      <c r="A1193" s="33">
        <v>45321</v>
      </c>
      <c r="B1193" s="34" t="s">
        <v>74</v>
      </c>
      <c r="C1193" s="34" t="s">
        <v>75</v>
      </c>
      <c r="D1193" s="34" t="s">
        <v>62</v>
      </c>
      <c r="E1193" s="34" t="s">
        <v>63</v>
      </c>
      <c r="F1193" s="35">
        <v>166155</v>
      </c>
      <c r="G1193" s="35">
        <v>6048</v>
      </c>
      <c r="H1193" s="36">
        <v>3.6400000000000002E-2</v>
      </c>
      <c r="I1193" s="37">
        <v>1.46</v>
      </c>
      <c r="J1193" s="37">
        <v>8830.08</v>
      </c>
      <c r="K1193" s="35">
        <v>260</v>
      </c>
      <c r="L1193" s="37">
        <v>33.96</v>
      </c>
      <c r="M1193" s="37">
        <v>28494.38</v>
      </c>
      <c r="N1193" s="38">
        <v>3.23</v>
      </c>
    </row>
    <row r="1194" spans="1:14" x14ac:dyDescent="0.3">
      <c r="A1194" s="33">
        <v>45350</v>
      </c>
      <c r="B1194" s="34" t="s">
        <v>64</v>
      </c>
      <c r="C1194" s="34" t="s">
        <v>70</v>
      </c>
      <c r="D1194" s="34" t="s">
        <v>71</v>
      </c>
      <c r="E1194" s="34" t="s">
        <v>63</v>
      </c>
      <c r="F1194" s="35">
        <v>50819</v>
      </c>
      <c r="G1194" s="35">
        <v>3206</v>
      </c>
      <c r="H1194" s="36">
        <v>6.3100000000000003E-2</v>
      </c>
      <c r="I1194" s="37">
        <v>0.95</v>
      </c>
      <c r="J1194" s="37">
        <v>3045.7</v>
      </c>
      <c r="K1194" s="35">
        <v>222</v>
      </c>
      <c r="L1194" s="37">
        <v>13.72</v>
      </c>
      <c r="M1194" s="37">
        <v>24319.42</v>
      </c>
      <c r="N1194" s="38">
        <v>7.98</v>
      </c>
    </row>
    <row r="1195" spans="1:14" x14ac:dyDescent="0.3">
      <c r="A1195" s="33">
        <v>45532</v>
      </c>
      <c r="B1195" s="34" t="s">
        <v>60</v>
      </c>
      <c r="C1195" s="34" t="s">
        <v>75</v>
      </c>
      <c r="D1195" s="34" t="s">
        <v>68</v>
      </c>
      <c r="E1195" s="34" t="s">
        <v>66</v>
      </c>
      <c r="F1195" s="35">
        <v>15796</v>
      </c>
      <c r="G1195" s="35">
        <v>301</v>
      </c>
      <c r="H1195" s="36">
        <v>1.9099999999999999E-2</v>
      </c>
      <c r="I1195" s="37">
        <v>1.91</v>
      </c>
      <c r="J1195" s="37">
        <v>574.91</v>
      </c>
      <c r="K1195" s="35">
        <v>17</v>
      </c>
      <c r="L1195" s="37">
        <v>33.82</v>
      </c>
      <c r="M1195" s="37">
        <v>1137.71</v>
      </c>
      <c r="N1195" s="38">
        <v>1.98</v>
      </c>
    </row>
    <row r="1196" spans="1:14" x14ac:dyDescent="0.3">
      <c r="A1196" s="33">
        <v>45346</v>
      </c>
      <c r="B1196" s="34" t="s">
        <v>64</v>
      </c>
      <c r="C1196" s="34" t="s">
        <v>75</v>
      </c>
      <c r="D1196" s="34" t="s">
        <v>76</v>
      </c>
      <c r="E1196" s="34" t="s">
        <v>77</v>
      </c>
      <c r="F1196" s="35">
        <v>133422</v>
      </c>
      <c r="G1196" s="35">
        <v>8458</v>
      </c>
      <c r="H1196" s="36">
        <v>6.3399999999999998E-2</v>
      </c>
      <c r="I1196" s="37">
        <v>0.82</v>
      </c>
      <c r="J1196" s="37">
        <v>6935.56</v>
      </c>
      <c r="K1196" s="35">
        <v>663</v>
      </c>
      <c r="L1196" s="37">
        <v>10.46</v>
      </c>
      <c r="M1196" s="37">
        <v>111531.65</v>
      </c>
      <c r="N1196" s="38">
        <v>16.079999999999998</v>
      </c>
    </row>
    <row r="1197" spans="1:14" x14ac:dyDescent="0.3">
      <c r="A1197" s="33">
        <v>45410</v>
      </c>
      <c r="B1197" s="34" t="s">
        <v>74</v>
      </c>
      <c r="C1197" s="34" t="s">
        <v>67</v>
      </c>
      <c r="D1197" s="34" t="s">
        <v>65</v>
      </c>
      <c r="E1197" s="34" t="s">
        <v>72</v>
      </c>
      <c r="F1197" s="35">
        <v>181026</v>
      </c>
      <c r="G1197" s="35">
        <v>2769</v>
      </c>
      <c r="H1197" s="36">
        <v>1.5299999999999999E-2</v>
      </c>
      <c r="I1197" s="37">
        <v>1.06</v>
      </c>
      <c r="J1197" s="37">
        <v>2935.14</v>
      </c>
      <c r="K1197" s="35">
        <v>155</v>
      </c>
      <c r="L1197" s="37">
        <v>18.940000000000001</v>
      </c>
      <c r="M1197" s="37">
        <v>18246.009999999998</v>
      </c>
      <c r="N1197" s="38">
        <v>6.22</v>
      </c>
    </row>
    <row r="1198" spans="1:14" x14ac:dyDescent="0.3">
      <c r="A1198" s="33">
        <v>45368</v>
      </c>
      <c r="B1198" s="34" t="s">
        <v>74</v>
      </c>
      <c r="C1198" s="34" t="s">
        <v>70</v>
      </c>
      <c r="D1198" s="34" t="s">
        <v>76</v>
      </c>
      <c r="E1198" s="34" t="s">
        <v>72</v>
      </c>
      <c r="F1198" s="35">
        <v>57784</v>
      </c>
      <c r="G1198" s="35">
        <v>907</v>
      </c>
      <c r="H1198" s="36">
        <v>1.5699999999999999E-2</v>
      </c>
      <c r="I1198" s="37">
        <v>1.21</v>
      </c>
      <c r="J1198" s="37">
        <v>1097.47</v>
      </c>
      <c r="K1198" s="35">
        <v>54</v>
      </c>
      <c r="L1198" s="37">
        <v>20.32</v>
      </c>
      <c r="M1198" s="37">
        <v>2856.1</v>
      </c>
      <c r="N1198" s="38">
        <v>2.6</v>
      </c>
    </row>
    <row r="1199" spans="1:14" x14ac:dyDescent="0.3">
      <c r="A1199" s="33">
        <v>45465</v>
      </c>
      <c r="B1199" s="34" t="s">
        <v>74</v>
      </c>
      <c r="C1199" s="34" t="s">
        <v>61</v>
      </c>
      <c r="D1199" s="34" t="s">
        <v>76</v>
      </c>
      <c r="E1199" s="34" t="s">
        <v>77</v>
      </c>
      <c r="F1199" s="35">
        <v>81023</v>
      </c>
      <c r="G1199" s="35">
        <v>1944</v>
      </c>
      <c r="H1199" s="36">
        <v>2.4E-2</v>
      </c>
      <c r="I1199" s="37">
        <v>1.31</v>
      </c>
      <c r="J1199" s="37">
        <v>2546.64</v>
      </c>
      <c r="K1199" s="35">
        <v>146</v>
      </c>
      <c r="L1199" s="37">
        <v>17.440000000000001</v>
      </c>
      <c r="M1199" s="37">
        <v>32752.99</v>
      </c>
      <c r="N1199" s="38">
        <v>12.86</v>
      </c>
    </row>
    <row r="1200" spans="1:14" x14ac:dyDescent="0.3">
      <c r="A1200" s="33">
        <v>45481</v>
      </c>
      <c r="B1200" s="34" t="s">
        <v>60</v>
      </c>
      <c r="C1200" s="34" t="s">
        <v>70</v>
      </c>
      <c r="D1200" s="34" t="s">
        <v>65</v>
      </c>
      <c r="E1200" s="34" t="s">
        <v>69</v>
      </c>
      <c r="F1200" s="35">
        <v>93623</v>
      </c>
      <c r="G1200" s="35">
        <v>6319</v>
      </c>
      <c r="H1200" s="36">
        <v>6.7500000000000004E-2</v>
      </c>
      <c r="I1200" s="37">
        <v>1.25</v>
      </c>
      <c r="J1200" s="37">
        <v>7898.75</v>
      </c>
      <c r="K1200" s="35">
        <v>83</v>
      </c>
      <c r="L1200" s="37">
        <v>95.17</v>
      </c>
      <c r="M1200" s="37">
        <v>20925.73</v>
      </c>
      <c r="N1200" s="38">
        <v>2.65</v>
      </c>
    </row>
    <row r="1201" spans="1:14" x14ac:dyDescent="0.3">
      <c r="A1201" s="33">
        <v>45424</v>
      </c>
      <c r="B1201" s="34" t="s">
        <v>64</v>
      </c>
      <c r="C1201" s="34" t="s">
        <v>61</v>
      </c>
      <c r="D1201" s="34" t="s">
        <v>65</v>
      </c>
      <c r="E1201" s="34" t="s">
        <v>72</v>
      </c>
      <c r="F1201" s="35">
        <v>118483</v>
      </c>
      <c r="G1201" s="35">
        <v>8826</v>
      </c>
      <c r="H1201" s="36">
        <v>7.4499999999999997E-2</v>
      </c>
      <c r="I1201" s="37">
        <v>1.69</v>
      </c>
      <c r="J1201" s="37">
        <v>14915.94</v>
      </c>
      <c r="K1201" s="35">
        <v>570</v>
      </c>
      <c r="L1201" s="37">
        <v>26.17</v>
      </c>
      <c r="M1201" s="37">
        <v>139364.5</v>
      </c>
      <c r="N1201" s="38">
        <v>9.34</v>
      </c>
    </row>
    <row r="1202" spans="1:14" x14ac:dyDescent="0.3">
      <c r="A1202" s="33">
        <v>45412</v>
      </c>
      <c r="B1202" s="34" t="s">
        <v>60</v>
      </c>
      <c r="C1202" s="34" t="s">
        <v>70</v>
      </c>
      <c r="D1202" s="34" t="s">
        <v>68</v>
      </c>
      <c r="E1202" s="34" t="s">
        <v>63</v>
      </c>
      <c r="F1202" s="35">
        <v>155018</v>
      </c>
      <c r="G1202" s="35">
        <v>9146</v>
      </c>
      <c r="H1202" s="36">
        <v>5.8999999999999997E-2</v>
      </c>
      <c r="I1202" s="37">
        <v>2.96</v>
      </c>
      <c r="J1202" s="37">
        <v>27072.16</v>
      </c>
      <c r="K1202" s="35">
        <v>495</v>
      </c>
      <c r="L1202" s="37">
        <v>54.69</v>
      </c>
      <c r="M1202" s="37">
        <v>33297.83</v>
      </c>
      <c r="N1202" s="38">
        <v>1.23</v>
      </c>
    </row>
    <row r="1203" spans="1:14" x14ac:dyDescent="0.3">
      <c r="A1203" s="33">
        <v>45599</v>
      </c>
      <c r="B1203" s="34" t="s">
        <v>60</v>
      </c>
      <c r="C1203" s="34" t="s">
        <v>61</v>
      </c>
      <c r="D1203" s="34" t="s">
        <v>65</v>
      </c>
      <c r="E1203" s="34" t="s">
        <v>73</v>
      </c>
      <c r="F1203" s="35">
        <v>13614</v>
      </c>
      <c r="G1203" s="35">
        <v>744</v>
      </c>
      <c r="H1203" s="36">
        <v>5.4699999999999999E-2</v>
      </c>
      <c r="I1203" s="37">
        <v>2.97</v>
      </c>
      <c r="J1203" s="37">
        <v>2209.6799999999998</v>
      </c>
      <c r="K1203" s="35">
        <v>54</v>
      </c>
      <c r="L1203" s="37">
        <v>40.92</v>
      </c>
      <c r="M1203" s="37">
        <v>11111.12</v>
      </c>
      <c r="N1203" s="38">
        <v>5.03</v>
      </c>
    </row>
    <row r="1204" spans="1:14" x14ac:dyDescent="0.3">
      <c r="A1204" s="33">
        <v>45642</v>
      </c>
      <c r="B1204" s="34" t="s">
        <v>60</v>
      </c>
      <c r="C1204" s="34" t="s">
        <v>75</v>
      </c>
      <c r="D1204" s="34" t="s">
        <v>71</v>
      </c>
      <c r="E1204" s="34" t="s">
        <v>78</v>
      </c>
      <c r="F1204" s="35">
        <v>7594</v>
      </c>
      <c r="G1204" s="35">
        <v>225</v>
      </c>
      <c r="H1204" s="36">
        <v>2.9700000000000001E-2</v>
      </c>
      <c r="I1204" s="37">
        <v>1.19</v>
      </c>
      <c r="J1204" s="37">
        <v>267.75</v>
      </c>
      <c r="K1204" s="35">
        <v>7</v>
      </c>
      <c r="L1204" s="37">
        <v>38.25</v>
      </c>
      <c r="M1204" s="37">
        <v>1275.1099999999999</v>
      </c>
      <c r="N1204" s="38">
        <v>4.76</v>
      </c>
    </row>
    <row r="1205" spans="1:14" x14ac:dyDescent="0.3">
      <c r="A1205" s="33">
        <v>45520</v>
      </c>
      <c r="B1205" s="34" t="s">
        <v>64</v>
      </c>
      <c r="C1205" s="34" t="s">
        <v>61</v>
      </c>
      <c r="D1205" s="34" t="s">
        <v>76</v>
      </c>
      <c r="E1205" s="34" t="s">
        <v>78</v>
      </c>
      <c r="F1205" s="35">
        <v>161640</v>
      </c>
      <c r="G1205" s="35">
        <v>5916</v>
      </c>
      <c r="H1205" s="36">
        <v>3.6600000000000001E-2</v>
      </c>
      <c r="I1205" s="37">
        <v>0.46</v>
      </c>
      <c r="J1205" s="37">
        <v>2721.36</v>
      </c>
      <c r="K1205" s="35">
        <v>445</v>
      </c>
      <c r="L1205" s="37">
        <v>6.12</v>
      </c>
      <c r="M1205" s="37">
        <v>30797.18</v>
      </c>
      <c r="N1205" s="38">
        <v>11.32</v>
      </c>
    </row>
    <row r="1206" spans="1:14" x14ac:dyDescent="0.3">
      <c r="A1206" s="33">
        <v>45649</v>
      </c>
      <c r="B1206" s="34" t="s">
        <v>60</v>
      </c>
      <c r="C1206" s="34" t="s">
        <v>67</v>
      </c>
      <c r="D1206" s="34" t="s">
        <v>76</v>
      </c>
      <c r="E1206" s="34" t="s">
        <v>63</v>
      </c>
      <c r="F1206" s="35">
        <v>83845</v>
      </c>
      <c r="G1206" s="35">
        <v>2599</v>
      </c>
      <c r="H1206" s="36">
        <v>3.1E-2</v>
      </c>
      <c r="I1206" s="37">
        <v>2.69</v>
      </c>
      <c r="J1206" s="37">
        <v>6991.31</v>
      </c>
      <c r="K1206" s="35">
        <v>137</v>
      </c>
      <c r="L1206" s="37">
        <v>51.03</v>
      </c>
      <c r="M1206" s="37">
        <v>29891.75</v>
      </c>
      <c r="N1206" s="38">
        <v>4.28</v>
      </c>
    </row>
    <row r="1207" spans="1:14" x14ac:dyDescent="0.3">
      <c r="A1207" s="33">
        <v>45429</v>
      </c>
      <c r="B1207" s="34" t="s">
        <v>60</v>
      </c>
      <c r="C1207" s="34" t="s">
        <v>75</v>
      </c>
      <c r="D1207" s="34" t="s">
        <v>68</v>
      </c>
      <c r="E1207" s="34" t="s">
        <v>72</v>
      </c>
      <c r="F1207" s="35">
        <v>195610</v>
      </c>
      <c r="G1207" s="35">
        <v>9956</v>
      </c>
      <c r="H1207" s="36">
        <v>5.0900000000000001E-2</v>
      </c>
      <c r="I1207" s="37">
        <v>2.37</v>
      </c>
      <c r="J1207" s="37">
        <v>23595.72</v>
      </c>
      <c r="K1207" s="35">
        <v>401</v>
      </c>
      <c r="L1207" s="37">
        <v>58.84</v>
      </c>
      <c r="M1207" s="37">
        <v>116291.87</v>
      </c>
      <c r="N1207" s="38">
        <v>4.93</v>
      </c>
    </row>
    <row r="1208" spans="1:14" x14ac:dyDescent="0.3">
      <c r="A1208" s="33">
        <v>45549</v>
      </c>
      <c r="B1208" s="34" t="s">
        <v>60</v>
      </c>
      <c r="C1208" s="34" t="s">
        <v>75</v>
      </c>
      <c r="D1208" s="34" t="s">
        <v>68</v>
      </c>
      <c r="E1208" s="34" t="s">
        <v>63</v>
      </c>
      <c r="F1208" s="35">
        <v>63812</v>
      </c>
      <c r="G1208" s="35">
        <v>2686</v>
      </c>
      <c r="H1208" s="36">
        <v>4.2099999999999999E-2</v>
      </c>
      <c r="I1208" s="37">
        <v>2.98</v>
      </c>
      <c r="J1208" s="37">
        <v>8004.28</v>
      </c>
      <c r="K1208" s="35">
        <v>84</v>
      </c>
      <c r="L1208" s="37">
        <v>95.29</v>
      </c>
      <c r="M1208" s="37">
        <v>6979.61</v>
      </c>
      <c r="N1208" s="38">
        <v>0.87</v>
      </c>
    </row>
    <row r="1209" spans="1:14" x14ac:dyDescent="0.3">
      <c r="A1209" s="33">
        <v>45532</v>
      </c>
      <c r="B1209" s="34" t="s">
        <v>60</v>
      </c>
      <c r="C1209" s="34" t="s">
        <v>67</v>
      </c>
      <c r="D1209" s="34" t="s">
        <v>62</v>
      </c>
      <c r="E1209" s="34" t="s">
        <v>63</v>
      </c>
      <c r="F1209" s="35">
        <v>33794</v>
      </c>
      <c r="G1209" s="35">
        <v>1030</v>
      </c>
      <c r="H1209" s="36">
        <v>3.0499999999999999E-2</v>
      </c>
      <c r="I1209" s="37">
        <v>1.75</v>
      </c>
      <c r="J1209" s="37">
        <v>1802.5</v>
      </c>
      <c r="K1209" s="35">
        <v>25</v>
      </c>
      <c r="L1209" s="37">
        <v>72.099999999999994</v>
      </c>
      <c r="M1209" s="37">
        <v>1849.39</v>
      </c>
      <c r="N1209" s="38">
        <v>1.03</v>
      </c>
    </row>
    <row r="1210" spans="1:14" x14ac:dyDescent="0.3">
      <c r="A1210" s="33">
        <v>45458</v>
      </c>
      <c r="B1210" s="34" t="s">
        <v>74</v>
      </c>
      <c r="C1210" s="34" t="s">
        <v>70</v>
      </c>
      <c r="D1210" s="34" t="s">
        <v>62</v>
      </c>
      <c r="E1210" s="34" t="s">
        <v>77</v>
      </c>
      <c r="F1210" s="35">
        <v>130056</v>
      </c>
      <c r="G1210" s="35">
        <v>3537</v>
      </c>
      <c r="H1210" s="36">
        <v>2.7199999999999998E-2</v>
      </c>
      <c r="I1210" s="37">
        <v>0.57999999999999996</v>
      </c>
      <c r="J1210" s="37">
        <v>2051.46</v>
      </c>
      <c r="K1210" s="35">
        <v>207</v>
      </c>
      <c r="L1210" s="37">
        <v>9.91</v>
      </c>
      <c r="M1210" s="37">
        <v>27550.99</v>
      </c>
      <c r="N1210" s="38">
        <v>13.43</v>
      </c>
    </row>
    <row r="1211" spans="1:14" x14ac:dyDescent="0.3">
      <c r="A1211" s="33">
        <v>45655</v>
      </c>
      <c r="B1211" s="34" t="s">
        <v>60</v>
      </c>
      <c r="C1211" s="34" t="s">
        <v>70</v>
      </c>
      <c r="D1211" s="34" t="s">
        <v>71</v>
      </c>
      <c r="E1211" s="34" t="s">
        <v>73</v>
      </c>
      <c r="F1211" s="35">
        <v>149438</v>
      </c>
      <c r="G1211" s="35">
        <v>3287</v>
      </c>
      <c r="H1211" s="36">
        <v>2.1999999999999999E-2</v>
      </c>
      <c r="I1211" s="37">
        <v>3.73</v>
      </c>
      <c r="J1211" s="37">
        <v>12260.51</v>
      </c>
      <c r="K1211" s="35">
        <v>153</v>
      </c>
      <c r="L1211" s="37">
        <v>80.13</v>
      </c>
      <c r="M1211" s="37">
        <v>8351.9500000000007</v>
      </c>
      <c r="N1211" s="38">
        <v>0.68</v>
      </c>
    </row>
    <row r="1212" spans="1:14" x14ac:dyDescent="0.3">
      <c r="A1212" s="33">
        <v>45308</v>
      </c>
      <c r="B1212" s="34" t="s">
        <v>74</v>
      </c>
      <c r="C1212" s="34" t="s">
        <v>70</v>
      </c>
      <c r="D1212" s="34" t="s">
        <v>68</v>
      </c>
      <c r="E1212" s="34" t="s">
        <v>73</v>
      </c>
      <c r="F1212" s="35">
        <v>185750</v>
      </c>
      <c r="G1212" s="35">
        <v>1653</v>
      </c>
      <c r="H1212" s="36">
        <v>8.8999999999999999E-3</v>
      </c>
      <c r="I1212" s="37">
        <v>1.3</v>
      </c>
      <c r="J1212" s="37">
        <v>2148.9</v>
      </c>
      <c r="K1212" s="35">
        <v>34</v>
      </c>
      <c r="L1212" s="37">
        <v>63.2</v>
      </c>
      <c r="M1212" s="37">
        <v>2916.11</v>
      </c>
      <c r="N1212" s="38">
        <v>1.36</v>
      </c>
    </row>
    <row r="1213" spans="1:14" x14ac:dyDescent="0.3">
      <c r="A1213" s="33">
        <v>45502</v>
      </c>
      <c r="B1213" s="34" t="s">
        <v>74</v>
      </c>
      <c r="C1213" s="34" t="s">
        <v>67</v>
      </c>
      <c r="D1213" s="34" t="s">
        <v>71</v>
      </c>
      <c r="E1213" s="34" t="s">
        <v>77</v>
      </c>
      <c r="F1213" s="35">
        <v>24750</v>
      </c>
      <c r="G1213" s="35">
        <v>747</v>
      </c>
      <c r="H1213" s="36">
        <v>3.0200000000000001E-2</v>
      </c>
      <c r="I1213" s="37">
        <v>1.19</v>
      </c>
      <c r="J1213" s="37">
        <v>888.93</v>
      </c>
      <c r="K1213" s="35">
        <v>48</v>
      </c>
      <c r="L1213" s="37">
        <v>18.52</v>
      </c>
      <c r="M1213" s="37">
        <v>1738.76</v>
      </c>
      <c r="N1213" s="38">
        <v>1.96</v>
      </c>
    </row>
    <row r="1214" spans="1:14" x14ac:dyDescent="0.3">
      <c r="A1214" s="33">
        <v>45612</v>
      </c>
      <c r="B1214" s="34" t="s">
        <v>64</v>
      </c>
      <c r="C1214" s="34" t="s">
        <v>70</v>
      </c>
      <c r="D1214" s="34" t="s">
        <v>62</v>
      </c>
      <c r="E1214" s="34" t="s">
        <v>66</v>
      </c>
      <c r="F1214" s="35">
        <v>66262</v>
      </c>
      <c r="G1214" s="35">
        <v>3790</v>
      </c>
      <c r="H1214" s="36">
        <v>5.7200000000000001E-2</v>
      </c>
      <c r="I1214" s="37">
        <v>1.07</v>
      </c>
      <c r="J1214" s="37">
        <v>4055.3</v>
      </c>
      <c r="K1214" s="35">
        <v>150</v>
      </c>
      <c r="L1214" s="37">
        <v>27.04</v>
      </c>
      <c r="M1214" s="37">
        <v>24443.119999999999</v>
      </c>
      <c r="N1214" s="38">
        <v>6.03</v>
      </c>
    </row>
    <row r="1215" spans="1:14" x14ac:dyDescent="0.3">
      <c r="A1215" s="33">
        <v>45421</v>
      </c>
      <c r="B1215" s="34" t="s">
        <v>64</v>
      </c>
      <c r="C1215" s="34" t="s">
        <v>67</v>
      </c>
      <c r="D1215" s="34" t="s">
        <v>76</v>
      </c>
      <c r="E1215" s="34" t="s">
        <v>66</v>
      </c>
      <c r="F1215" s="35">
        <v>126854</v>
      </c>
      <c r="G1215" s="35">
        <v>7243</v>
      </c>
      <c r="H1215" s="36">
        <v>5.7099999999999998E-2</v>
      </c>
      <c r="I1215" s="37">
        <v>0.81</v>
      </c>
      <c r="J1215" s="37">
        <v>5866.83</v>
      </c>
      <c r="K1215" s="35">
        <v>474</v>
      </c>
      <c r="L1215" s="37">
        <v>12.38</v>
      </c>
      <c r="M1215" s="37">
        <v>55705.279999999999</v>
      </c>
      <c r="N1215" s="38">
        <v>9.49</v>
      </c>
    </row>
    <row r="1216" spans="1:14" x14ac:dyDescent="0.3">
      <c r="A1216" s="33">
        <v>45554</v>
      </c>
      <c r="B1216" s="34" t="s">
        <v>74</v>
      </c>
      <c r="C1216" s="34" t="s">
        <v>67</v>
      </c>
      <c r="D1216" s="34" t="s">
        <v>65</v>
      </c>
      <c r="E1216" s="34" t="s">
        <v>73</v>
      </c>
      <c r="F1216" s="35">
        <v>32559</v>
      </c>
      <c r="G1216" s="35">
        <v>553</v>
      </c>
      <c r="H1216" s="36">
        <v>1.7000000000000001E-2</v>
      </c>
      <c r="I1216" s="37">
        <v>0.71</v>
      </c>
      <c r="J1216" s="37">
        <v>392.63</v>
      </c>
      <c r="K1216" s="35">
        <v>6</v>
      </c>
      <c r="L1216" s="37">
        <v>65.44</v>
      </c>
      <c r="M1216" s="37">
        <v>1500.74</v>
      </c>
      <c r="N1216" s="38">
        <v>3.82</v>
      </c>
    </row>
    <row r="1217" spans="1:14" x14ac:dyDescent="0.3">
      <c r="A1217" s="33">
        <v>45500</v>
      </c>
      <c r="B1217" s="34" t="s">
        <v>60</v>
      </c>
      <c r="C1217" s="34" t="s">
        <v>61</v>
      </c>
      <c r="D1217" s="34" t="s">
        <v>71</v>
      </c>
      <c r="E1217" s="34" t="s">
        <v>63</v>
      </c>
      <c r="F1217" s="35">
        <v>85729</v>
      </c>
      <c r="G1217" s="35">
        <v>1757</v>
      </c>
      <c r="H1217" s="36">
        <v>2.0500000000000001E-2</v>
      </c>
      <c r="I1217" s="37">
        <v>3.02</v>
      </c>
      <c r="J1217" s="37">
        <v>5306.14</v>
      </c>
      <c r="K1217" s="35">
        <v>90</v>
      </c>
      <c r="L1217" s="37">
        <v>58.96</v>
      </c>
      <c r="M1217" s="37">
        <v>21584.82</v>
      </c>
      <c r="N1217" s="38">
        <v>4.07</v>
      </c>
    </row>
    <row r="1218" spans="1:14" x14ac:dyDescent="0.3">
      <c r="A1218" s="33">
        <v>45634</v>
      </c>
      <c r="B1218" s="34" t="s">
        <v>74</v>
      </c>
      <c r="C1218" s="34" t="s">
        <v>70</v>
      </c>
      <c r="D1218" s="34" t="s">
        <v>76</v>
      </c>
      <c r="E1218" s="34" t="s">
        <v>77</v>
      </c>
      <c r="F1218" s="35">
        <v>126432</v>
      </c>
      <c r="G1218" s="35">
        <v>1567</v>
      </c>
      <c r="H1218" s="36">
        <v>1.24E-2</v>
      </c>
      <c r="I1218" s="37">
        <v>1.65</v>
      </c>
      <c r="J1218" s="37">
        <v>2585.5500000000002</v>
      </c>
      <c r="K1218" s="35">
        <v>110</v>
      </c>
      <c r="L1218" s="37">
        <v>23.51</v>
      </c>
      <c r="M1218" s="37">
        <v>31358.68</v>
      </c>
      <c r="N1218" s="38">
        <v>12.13</v>
      </c>
    </row>
    <row r="1219" spans="1:14" x14ac:dyDescent="0.3">
      <c r="A1219" s="33">
        <v>45379</v>
      </c>
      <c r="B1219" s="34" t="s">
        <v>74</v>
      </c>
      <c r="C1219" s="34" t="s">
        <v>61</v>
      </c>
      <c r="D1219" s="34" t="s">
        <v>62</v>
      </c>
      <c r="E1219" s="34" t="s">
        <v>66</v>
      </c>
      <c r="F1219" s="35">
        <v>196595</v>
      </c>
      <c r="G1219" s="35">
        <v>2614</v>
      </c>
      <c r="H1219" s="36">
        <v>1.3299999999999999E-2</v>
      </c>
      <c r="I1219" s="37">
        <v>0.38</v>
      </c>
      <c r="J1219" s="37">
        <v>993.32</v>
      </c>
      <c r="K1219" s="35">
        <v>28</v>
      </c>
      <c r="L1219" s="37">
        <v>35.479999999999997</v>
      </c>
      <c r="M1219" s="37">
        <v>6376.7</v>
      </c>
      <c r="N1219" s="38">
        <v>6.42</v>
      </c>
    </row>
    <row r="1220" spans="1:14" x14ac:dyDescent="0.3">
      <c r="A1220" s="33">
        <v>45559</v>
      </c>
      <c r="B1220" s="34" t="s">
        <v>74</v>
      </c>
      <c r="C1220" s="34" t="s">
        <v>61</v>
      </c>
      <c r="D1220" s="34" t="s">
        <v>76</v>
      </c>
      <c r="E1220" s="34" t="s">
        <v>66</v>
      </c>
      <c r="F1220" s="35">
        <v>14028</v>
      </c>
      <c r="G1220" s="35">
        <v>342</v>
      </c>
      <c r="H1220" s="36">
        <v>2.4400000000000002E-2</v>
      </c>
      <c r="I1220" s="37">
        <v>1.89</v>
      </c>
      <c r="J1220" s="37">
        <v>646.38</v>
      </c>
      <c r="K1220" s="35">
        <v>7</v>
      </c>
      <c r="L1220" s="37">
        <v>92.34</v>
      </c>
      <c r="M1220" s="37">
        <v>716.51</v>
      </c>
      <c r="N1220" s="38">
        <v>1.1100000000000001</v>
      </c>
    </row>
    <row r="1221" spans="1:14" x14ac:dyDescent="0.3">
      <c r="A1221" s="33">
        <v>45372</v>
      </c>
      <c r="B1221" s="34" t="s">
        <v>60</v>
      </c>
      <c r="C1221" s="34" t="s">
        <v>75</v>
      </c>
      <c r="D1221" s="34" t="s">
        <v>68</v>
      </c>
      <c r="E1221" s="34" t="s">
        <v>73</v>
      </c>
      <c r="F1221" s="35">
        <v>77964</v>
      </c>
      <c r="G1221" s="35">
        <v>2915</v>
      </c>
      <c r="H1221" s="36">
        <v>3.7400000000000003E-2</v>
      </c>
      <c r="I1221" s="37">
        <v>3.38</v>
      </c>
      <c r="J1221" s="37">
        <v>9852.7000000000007</v>
      </c>
      <c r="K1221" s="35">
        <v>161</v>
      </c>
      <c r="L1221" s="37">
        <v>61.2</v>
      </c>
      <c r="M1221" s="37">
        <v>14283</v>
      </c>
      <c r="N1221" s="38">
        <v>1.45</v>
      </c>
    </row>
    <row r="1222" spans="1:14" x14ac:dyDescent="0.3">
      <c r="A1222" s="33">
        <v>45394</v>
      </c>
      <c r="B1222" s="34" t="s">
        <v>60</v>
      </c>
      <c r="C1222" s="34" t="s">
        <v>61</v>
      </c>
      <c r="D1222" s="34" t="s">
        <v>62</v>
      </c>
      <c r="E1222" s="34" t="s">
        <v>66</v>
      </c>
      <c r="F1222" s="35">
        <v>102677</v>
      </c>
      <c r="G1222" s="35">
        <v>3131</v>
      </c>
      <c r="H1222" s="36">
        <v>3.0499999999999999E-2</v>
      </c>
      <c r="I1222" s="37">
        <v>3.67</v>
      </c>
      <c r="J1222" s="37">
        <v>11490.77</v>
      </c>
      <c r="K1222" s="35">
        <v>79</v>
      </c>
      <c r="L1222" s="37">
        <v>145.44999999999999</v>
      </c>
      <c r="M1222" s="37">
        <v>13056.26</v>
      </c>
      <c r="N1222" s="38">
        <v>1.1399999999999999</v>
      </c>
    </row>
    <row r="1223" spans="1:14" x14ac:dyDescent="0.3">
      <c r="A1223" s="33">
        <v>45655</v>
      </c>
      <c r="B1223" s="34" t="s">
        <v>60</v>
      </c>
      <c r="C1223" s="34" t="s">
        <v>61</v>
      </c>
      <c r="D1223" s="34" t="s">
        <v>62</v>
      </c>
      <c r="E1223" s="34" t="s">
        <v>72</v>
      </c>
      <c r="F1223" s="35">
        <v>137737</v>
      </c>
      <c r="G1223" s="35">
        <v>3925</v>
      </c>
      <c r="H1223" s="36">
        <v>2.8500000000000001E-2</v>
      </c>
      <c r="I1223" s="37">
        <v>0.9</v>
      </c>
      <c r="J1223" s="37">
        <v>3532.5</v>
      </c>
      <c r="K1223" s="35">
        <v>78</v>
      </c>
      <c r="L1223" s="37">
        <v>45.29</v>
      </c>
      <c r="M1223" s="37">
        <v>11545.1</v>
      </c>
      <c r="N1223" s="38">
        <v>3.27</v>
      </c>
    </row>
    <row r="1224" spans="1:14" x14ac:dyDescent="0.3">
      <c r="A1224" s="33">
        <v>45417</v>
      </c>
      <c r="B1224" s="34" t="s">
        <v>60</v>
      </c>
      <c r="C1224" s="34" t="s">
        <v>70</v>
      </c>
      <c r="D1224" s="34" t="s">
        <v>65</v>
      </c>
      <c r="E1224" s="34" t="s">
        <v>69</v>
      </c>
      <c r="F1224" s="35">
        <v>93534</v>
      </c>
      <c r="G1224" s="35">
        <v>3544</v>
      </c>
      <c r="H1224" s="36">
        <v>3.7900000000000003E-2</v>
      </c>
      <c r="I1224" s="37">
        <v>0.95</v>
      </c>
      <c r="J1224" s="37">
        <v>3366.8</v>
      </c>
      <c r="K1224" s="35">
        <v>187</v>
      </c>
      <c r="L1224" s="37">
        <v>18</v>
      </c>
      <c r="M1224" s="37">
        <v>32280.5</v>
      </c>
      <c r="N1224" s="38">
        <v>9.59</v>
      </c>
    </row>
    <row r="1225" spans="1:14" x14ac:dyDescent="0.3">
      <c r="A1225" s="33">
        <v>45460</v>
      </c>
      <c r="B1225" s="34" t="s">
        <v>60</v>
      </c>
      <c r="C1225" s="34" t="s">
        <v>67</v>
      </c>
      <c r="D1225" s="34" t="s">
        <v>62</v>
      </c>
      <c r="E1225" s="34" t="s">
        <v>78</v>
      </c>
      <c r="F1225" s="35">
        <v>127475</v>
      </c>
      <c r="G1225" s="35">
        <v>7342</v>
      </c>
      <c r="H1225" s="36">
        <v>5.7599999999999998E-2</v>
      </c>
      <c r="I1225" s="37">
        <v>2.34</v>
      </c>
      <c r="J1225" s="37">
        <v>17180.28</v>
      </c>
      <c r="K1225" s="35">
        <v>574</v>
      </c>
      <c r="L1225" s="37">
        <v>29.93</v>
      </c>
      <c r="M1225" s="37">
        <v>74747.490000000005</v>
      </c>
      <c r="N1225" s="38">
        <v>4.3499999999999996</v>
      </c>
    </row>
    <row r="1226" spans="1:14" x14ac:dyDescent="0.3">
      <c r="A1226" s="33">
        <v>45544</v>
      </c>
      <c r="B1226" s="34" t="s">
        <v>60</v>
      </c>
      <c r="C1226" s="34" t="s">
        <v>75</v>
      </c>
      <c r="D1226" s="34" t="s">
        <v>71</v>
      </c>
      <c r="E1226" s="34" t="s">
        <v>69</v>
      </c>
      <c r="F1226" s="35">
        <v>82700</v>
      </c>
      <c r="G1226" s="35">
        <v>2679</v>
      </c>
      <c r="H1226" s="36">
        <v>3.2399999999999998E-2</v>
      </c>
      <c r="I1226" s="37">
        <v>0.86</v>
      </c>
      <c r="J1226" s="37">
        <v>2303.94</v>
      </c>
      <c r="K1226" s="35">
        <v>140</v>
      </c>
      <c r="L1226" s="37">
        <v>16.46</v>
      </c>
      <c r="M1226" s="37">
        <v>20788.45</v>
      </c>
      <c r="N1226" s="38">
        <v>9.02</v>
      </c>
    </row>
    <row r="1227" spans="1:14" x14ac:dyDescent="0.3">
      <c r="A1227" s="33">
        <v>45431</v>
      </c>
      <c r="B1227" s="34" t="s">
        <v>64</v>
      </c>
      <c r="C1227" s="34" t="s">
        <v>70</v>
      </c>
      <c r="D1227" s="34" t="s">
        <v>76</v>
      </c>
      <c r="E1227" s="34" t="s">
        <v>66</v>
      </c>
      <c r="F1227" s="35">
        <v>96432</v>
      </c>
      <c r="G1227" s="35">
        <v>7155</v>
      </c>
      <c r="H1227" s="36">
        <v>7.4200000000000002E-2</v>
      </c>
      <c r="I1227" s="37">
        <v>0.35</v>
      </c>
      <c r="J1227" s="37">
        <v>2504.25</v>
      </c>
      <c r="K1227" s="35">
        <v>336</v>
      </c>
      <c r="L1227" s="37">
        <v>7.45</v>
      </c>
      <c r="M1227" s="37">
        <v>47954.95</v>
      </c>
      <c r="N1227" s="38">
        <v>19.149999999999999</v>
      </c>
    </row>
    <row r="1228" spans="1:14" x14ac:dyDescent="0.3">
      <c r="A1228" s="33">
        <v>45632</v>
      </c>
      <c r="B1228" s="34" t="s">
        <v>64</v>
      </c>
      <c r="C1228" s="34" t="s">
        <v>70</v>
      </c>
      <c r="D1228" s="34" t="s">
        <v>71</v>
      </c>
      <c r="E1228" s="34" t="s">
        <v>69</v>
      </c>
      <c r="F1228" s="35">
        <v>154656</v>
      </c>
      <c r="G1228" s="35">
        <v>6557</v>
      </c>
      <c r="H1228" s="36">
        <v>4.24E-2</v>
      </c>
      <c r="I1228" s="37">
        <v>0.4</v>
      </c>
      <c r="J1228" s="37">
        <v>2622.8</v>
      </c>
      <c r="K1228" s="35">
        <v>345</v>
      </c>
      <c r="L1228" s="37">
        <v>7.6</v>
      </c>
      <c r="M1228" s="37">
        <v>49646.11</v>
      </c>
      <c r="N1228" s="38">
        <v>18.93</v>
      </c>
    </row>
    <row r="1229" spans="1:14" x14ac:dyDescent="0.3">
      <c r="A1229" s="33">
        <v>45465</v>
      </c>
      <c r="B1229" s="34" t="s">
        <v>60</v>
      </c>
      <c r="C1229" s="34" t="s">
        <v>67</v>
      </c>
      <c r="D1229" s="34" t="s">
        <v>68</v>
      </c>
      <c r="E1229" s="34" t="s">
        <v>66</v>
      </c>
      <c r="F1229" s="35">
        <v>115415</v>
      </c>
      <c r="G1229" s="35">
        <v>3866</v>
      </c>
      <c r="H1229" s="36">
        <v>3.3500000000000002E-2</v>
      </c>
      <c r="I1229" s="37">
        <v>3.29</v>
      </c>
      <c r="J1229" s="37">
        <v>12719.14</v>
      </c>
      <c r="K1229" s="35">
        <v>280</v>
      </c>
      <c r="L1229" s="37">
        <v>45.43</v>
      </c>
      <c r="M1229" s="37">
        <v>61322.57</v>
      </c>
      <c r="N1229" s="38">
        <v>4.82</v>
      </c>
    </row>
    <row r="1230" spans="1:14" x14ac:dyDescent="0.3">
      <c r="A1230" s="33">
        <v>45549</v>
      </c>
      <c r="B1230" s="34" t="s">
        <v>60</v>
      </c>
      <c r="C1230" s="34" t="s">
        <v>61</v>
      </c>
      <c r="D1230" s="34" t="s">
        <v>76</v>
      </c>
      <c r="E1230" s="34" t="s">
        <v>73</v>
      </c>
      <c r="F1230" s="35">
        <v>157963</v>
      </c>
      <c r="G1230" s="35">
        <v>5607</v>
      </c>
      <c r="H1230" s="36">
        <v>3.5499999999999997E-2</v>
      </c>
      <c r="I1230" s="37">
        <v>0.88</v>
      </c>
      <c r="J1230" s="37">
        <v>4934.16</v>
      </c>
      <c r="K1230" s="35">
        <v>205</v>
      </c>
      <c r="L1230" s="37">
        <v>24.07</v>
      </c>
      <c r="M1230" s="37">
        <v>50937.22</v>
      </c>
      <c r="N1230" s="38">
        <v>10.32</v>
      </c>
    </row>
    <row r="1231" spans="1:14" x14ac:dyDescent="0.3">
      <c r="A1231" s="33">
        <v>45449</v>
      </c>
      <c r="B1231" s="34" t="s">
        <v>74</v>
      </c>
      <c r="C1231" s="34" t="s">
        <v>67</v>
      </c>
      <c r="D1231" s="34" t="s">
        <v>62</v>
      </c>
      <c r="E1231" s="34" t="s">
        <v>73</v>
      </c>
      <c r="F1231" s="35">
        <v>133684</v>
      </c>
      <c r="G1231" s="35">
        <v>2018</v>
      </c>
      <c r="H1231" s="36">
        <v>1.5100000000000001E-2</v>
      </c>
      <c r="I1231" s="37">
        <v>1.72</v>
      </c>
      <c r="J1231" s="37">
        <v>3470.96</v>
      </c>
      <c r="K1231" s="35">
        <v>44</v>
      </c>
      <c r="L1231" s="37">
        <v>78.89</v>
      </c>
      <c r="M1231" s="37">
        <v>11449.27</v>
      </c>
      <c r="N1231" s="38">
        <v>3.3</v>
      </c>
    </row>
    <row r="1232" spans="1:14" x14ac:dyDescent="0.3">
      <c r="A1232" s="33">
        <v>45296</v>
      </c>
      <c r="B1232" s="34" t="s">
        <v>60</v>
      </c>
      <c r="C1232" s="34" t="s">
        <v>70</v>
      </c>
      <c r="D1232" s="34" t="s">
        <v>68</v>
      </c>
      <c r="E1232" s="34" t="s">
        <v>63</v>
      </c>
      <c r="F1232" s="35">
        <v>20091</v>
      </c>
      <c r="G1232" s="35">
        <v>956</v>
      </c>
      <c r="H1232" s="36">
        <v>4.7600000000000003E-2</v>
      </c>
      <c r="I1232" s="37">
        <v>3.41</v>
      </c>
      <c r="J1232" s="37">
        <v>3259.96</v>
      </c>
      <c r="K1232" s="35">
        <v>36</v>
      </c>
      <c r="L1232" s="37">
        <v>90.55</v>
      </c>
      <c r="M1232" s="37">
        <v>9230.0499999999993</v>
      </c>
      <c r="N1232" s="38">
        <v>2.83</v>
      </c>
    </row>
    <row r="1233" spans="1:14" x14ac:dyDescent="0.3">
      <c r="A1233" s="33">
        <v>45645</v>
      </c>
      <c r="B1233" s="34" t="s">
        <v>60</v>
      </c>
      <c r="C1233" s="34" t="s">
        <v>75</v>
      </c>
      <c r="D1233" s="34" t="s">
        <v>76</v>
      </c>
      <c r="E1233" s="34" t="s">
        <v>73</v>
      </c>
      <c r="F1233" s="35">
        <v>126946</v>
      </c>
      <c r="G1233" s="35">
        <v>6728</v>
      </c>
      <c r="H1233" s="36">
        <v>5.2999999999999999E-2</v>
      </c>
      <c r="I1233" s="37">
        <v>2.31</v>
      </c>
      <c r="J1233" s="37">
        <v>15541.68</v>
      </c>
      <c r="K1233" s="35">
        <v>132</v>
      </c>
      <c r="L1233" s="37">
        <v>117.74</v>
      </c>
      <c r="M1233" s="37">
        <v>34256.99</v>
      </c>
      <c r="N1233" s="38">
        <v>2.2000000000000002</v>
      </c>
    </row>
    <row r="1234" spans="1:14" x14ac:dyDescent="0.3">
      <c r="A1234" s="33">
        <v>45656</v>
      </c>
      <c r="B1234" s="34" t="s">
        <v>64</v>
      </c>
      <c r="C1234" s="34" t="s">
        <v>61</v>
      </c>
      <c r="D1234" s="34" t="s">
        <v>68</v>
      </c>
      <c r="E1234" s="34" t="s">
        <v>72</v>
      </c>
      <c r="F1234" s="35">
        <v>8311</v>
      </c>
      <c r="G1234" s="35">
        <v>476</v>
      </c>
      <c r="H1234" s="36">
        <v>5.7299999999999997E-2</v>
      </c>
      <c r="I1234" s="37">
        <v>1.61</v>
      </c>
      <c r="J1234" s="37">
        <v>766.36</v>
      </c>
      <c r="K1234" s="35">
        <v>18</v>
      </c>
      <c r="L1234" s="37">
        <v>42.58</v>
      </c>
      <c r="M1234" s="37">
        <v>1064.02</v>
      </c>
      <c r="N1234" s="38">
        <v>1.39</v>
      </c>
    </row>
    <row r="1235" spans="1:14" x14ac:dyDescent="0.3">
      <c r="A1235" s="33">
        <v>45408</v>
      </c>
      <c r="B1235" s="34" t="s">
        <v>60</v>
      </c>
      <c r="C1235" s="34" t="s">
        <v>67</v>
      </c>
      <c r="D1235" s="34" t="s">
        <v>68</v>
      </c>
      <c r="E1235" s="34" t="s">
        <v>66</v>
      </c>
      <c r="F1235" s="35">
        <v>140091</v>
      </c>
      <c r="G1235" s="35">
        <v>7242</v>
      </c>
      <c r="H1235" s="36">
        <v>5.1700000000000003E-2</v>
      </c>
      <c r="I1235" s="37">
        <v>2.52</v>
      </c>
      <c r="J1235" s="37">
        <v>18249.84</v>
      </c>
      <c r="K1235" s="35">
        <v>347</v>
      </c>
      <c r="L1235" s="37">
        <v>52.59</v>
      </c>
      <c r="M1235" s="37">
        <v>24525.17</v>
      </c>
      <c r="N1235" s="38">
        <v>1.34</v>
      </c>
    </row>
    <row r="1236" spans="1:14" x14ac:dyDescent="0.3">
      <c r="A1236" s="33">
        <v>45428</v>
      </c>
      <c r="B1236" s="34" t="s">
        <v>64</v>
      </c>
      <c r="C1236" s="34" t="s">
        <v>70</v>
      </c>
      <c r="D1236" s="34" t="s">
        <v>76</v>
      </c>
      <c r="E1236" s="34" t="s">
        <v>73</v>
      </c>
      <c r="F1236" s="35">
        <v>140121</v>
      </c>
      <c r="G1236" s="35">
        <v>4778</v>
      </c>
      <c r="H1236" s="36">
        <v>3.4099999999999998E-2</v>
      </c>
      <c r="I1236" s="37">
        <v>0.86</v>
      </c>
      <c r="J1236" s="37">
        <v>4109.08</v>
      </c>
      <c r="K1236" s="35">
        <v>291</v>
      </c>
      <c r="L1236" s="37">
        <v>14.12</v>
      </c>
      <c r="M1236" s="37">
        <v>84859.67</v>
      </c>
      <c r="N1236" s="38">
        <v>20.65</v>
      </c>
    </row>
    <row r="1237" spans="1:14" x14ac:dyDescent="0.3">
      <c r="A1237" s="33">
        <v>45504</v>
      </c>
      <c r="B1237" s="34" t="s">
        <v>74</v>
      </c>
      <c r="C1237" s="34" t="s">
        <v>75</v>
      </c>
      <c r="D1237" s="34" t="s">
        <v>62</v>
      </c>
      <c r="E1237" s="34" t="s">
        <v>66</v>
      </c>
      <c r="F1237" s="35">
        <v>159301</v>
      </c>
      <c r="G1237" s="35">
        <v>6738</v>
      </c>
      <c r="H1237" s="36">
        <v>4.2299999999999997E-2</v>
      </c>
      <c r="I1237" s="37">
        <v>2.1800000000000002</v>
      </c>
      <c r="J1237" s="37">
        <v>14688.84</v>
      </c>
      <c r="K1237" s="35">
        <v>302</v>
      </c>
      <c r="L1237" s="37">
        <v>48.64</v>
      </c>
      <c r="M1237" s="37">
        <v>57570.61</v>
      </c>
      <c r="N1237" s="38">
        <v>3.92</v>
      </c>
    </row>
    <row r="1238" spans="1:14" x14ac:dyDescent="0.3">
      <c r="A1238" s="33">
        <v>45307</v>
      </c>
      <c r="B1238" s="34" t="s">
        <v>64</v>
      </c>
      <c r="C1238" s="34" t="s">
        <v>70</v>
      </c>
      <c r="D1238" s="34" t="s">
        <v>71</v>
      </c>
      <c r="E1238" s="34" t="s">
        <v>72</v>
      </c>
      <c r="F1238" s="35">
        <v>88940</v>
      </c>
      <c r="G1238" s="35">
        <v>4384</v>
      </c>
      <c r="H1238" s="36">
        <v>4.9299999999999997E-2</v>
      </c>
      <c r="I1238" s="37">
        <v>0.32</v>
      </c>
      <c r="J1238" s="37">
        <v>1402.88</v>
      </c>
      <c r="K1238" s="35">
        <v>66</v>
      </c>
      <c r="L1238" s="37">
        <v>21.26</v>
      </c>
      <c r="M1238" s="37">
        <v>10447.120000000001</v>
      </c>
      <c r="N1238" s="38">
        <v>7.45</v>
      </c>
    </row>
    <row r="1239" spans="1:14" x14ac:dyDescent="0.3">
      <c r="A1239" s="33">
        <v>45508</v>
      </c>
      <c r="B1239" s="34" t="s">
        <v>74</v>
      </c>
      <c r="C1239" s="34" t="s">
        <v>61</v>
      </c>
      <c r="D1239" s="34" t="s">
        <v>62</v>
      </c>
      <c r="E1239" s="34" t="s">
        <v>73</v>
      </c>
      <c r="F1239" s="35">
        <v>194287</v>
      </c>
      <c r="G1239" s="35">
        <v>5032</v>
      </c>
      <c r="H1239" s="36">
        <v>2.5899999999999999E-2</v>
      </c>
      <c r="I1239" s="37">
        <v>0.85</v>
      </c>
      <c r="J1239" s="37">
        <v>4277.2</v>
      </c>
      <c r="K1239" s="35">
        <v>338</v>
      </c>
      <c r="L1239" s="37">
        <v>12.65</v>
      </c>
      <c r="M1239" s="37">
        <v>32920.35</v>
      </c>
      <c r="N1239" s="38">
        <v>7.7</v>
      </c>
    </row>
    <row r="1240" spans="1:14" x14ac:dyDescent="0.3">
      <c r="A1240" s="33">
        <v>45330</v>
      </c>
      <c r="B1240" s="34" t="s">
        <v>64</v>
      </c>
      <c r="C1240" s="34" t="s">
        <v>61</v>
      </c>
      <c r="D1240" s="34" t="s">
        <v>68</v>
      </c>
      <c r="E1240" s="34" t="s">
        <v>77</v>
      </c>
      <c r="F1240" s="35">
        <v>17911</v>
      </c>
      <c r="G1240" s="35">
        <v>1148</v>
      </c>
      <c r="H1240" s="36">
        <v>6.4100000000000004E-2</v>
      </c>
      <c r="I1240" s="37">
        <v>1.1499999999999999</v>
      </c>
      <c r="J1240" s="37">
        <v>1320.2</v>
      </c>
      <c r="K1240" s="35">
        <v>52</v>
      </c>
      <c r="L1240" s="37">
        <v>25.39</v>
      </c>
      <c r="M1240" s="37">
        <v>3388.21</v>
      </c>
      <c r="N1240" s="38">
        <v>2.57</v>
      </c>
    </row>
    <row r="1241" spans="1:14" x14ac:dyDescent="0.3">
      <c r="A1241" s="33">
        <v>45495</v>
      </c>
      <c r="B1241" s="34" t="s">
        <v>74</v>
      </c>
      <c r="C1241" s="34" t="s">
        <v>75</v>
      </c>
      <c r="D1241" s="34" t="s">
        <v>71</v>
      </c>
      <c r="E1241" s="34" t="s">
        <v>66</v>
      </c>
      <c r="F1241" s="35">
        <v>9909</v>
      </c>
      <c r="G1241" s="35">
        <v>170</v>
      </c>
      <c r="H1241" s="36">
        <v>1.72E-2</v>
      </c>
      <c r="I1241" s="37">
        <v>1.86</v>
      </c>
      <c r="J1241" s="37">
        <v>316.2</v>
      </c>
      <c r="K1241" s="35">
        <v>10</v>
      </c>
      <c r="L1241" s="37">
        <v>31.62</v>
      </c>
      <c r="M1241" s="37">
        <v>1238.47</v>
      </c>
      <c r="N1241" s="38">
        <v>3.92</v>
      </c>
    </row>
    <row r="1242" spans="1:14" x14ac:dyDescent="0.3">
      <c r="A1242" s="33">
        <v>45309</v>
      </c>
      <c r="B1242" s="34" t="s">
        <v>64</v>
      </c>
      <c r="C1242" s="34" t="s">
        <v>61</v>
      </c>
      <c r="D1242" s="34" t="s">
        <v>76</v>
      </c>
      <c r="E1242" s="34" t="s">
        <v>77</v>
      </c>
      <c r="F1242" s="35">
        <v>168616</v>
      </c>
      <c r="G1242" s="35">
        <v>6508</v>
      </c>
      <c r="H1242" s="36">
        <v>3.8600000000000002E-2</v>
      </c>
      <c r="I1242" s="37">
        <v>1.02</v>
      </c>
      <c r="J1242" s="37">
        <v>6638.16</v>
      </c>
      <c r="K1242" s="35">
        <v>508</v>
      </c>
      <c r="L1242" s="37">
        <v>13.07</v>
      </c>
      <c r="M1242" s="37">
        <v>151081.09</v>
      </c>
      <c r="N1242" s="38">
        <v>22.76</v>
      </c>
    </row>
    <row r="1243" spans="1:14" x14ac:dyDescent="0.3">
      <c r="A1243" s="33">
        <v>45564</v>
      </c>
      <c r="B1243" s="34" t="s">
        <v>74</v>
      </c>
      <c r="C1243" s="34" t="s">
        <v>70</v>
      </c>
      <c r="D1243" s="34" t="s">
        <v>68</v>
      </c>
      <c r="E1243" s="34" t="s">
        <v>72</v>
      </c>
      <c r="F1243" s="35">
        <v>139346</v>
      </c>
      <c r="G1243" s="35">
        <v>4096</v>
      </c>
      <c r="H1243" s="36">
        <v>2.9399999999999999E-2</v>
      </c>
      <c r="I1243" s="37">
        <v>0.62</v>
      </c>
      <c r="J1243" s="37">
        <v>2539.52</v>
      </c>
      <c r="K1243" s="35">
        <v>236</v>
      </c>
      <c r="L1243" s="37">
        <v>10.76</v>
      </c>
      <c r="M1243" s="37">
        <v>12521.54</v>
      </c>
      <c r="N1243" s="38">
        <v>4.93</v>
      </c>
    </row>
    <row r="1244" spans="1:14" x14ac:dyDescent="0.3">
      <c r="A1244" s="33">
        <v>45366</v>
      </c>
      <c r="B1244" s="34" t="s">
        <v>74</v>
      </c>
      <c r="C1244" s="34" t="s">
        <v>61</v>
      </c>
      <c r="D1244" s="34" t="s">
        <v>62</v>
      </c>
      <c r="E1244" s="34" t="s">
        <v>66</v>
      </c>
      <c r="F1244" s="35">
        <v>98740</v>
      </c>
      <c r="G1244" s="35">
        <v>1589</v>
      </c>
      <c r="H1244" s="36">
        <v>1.61E-2</v>
      </c>
      <c r="I1244" s="37">
        <v>2.09</v>
      </c>
      <c r="J1244" s="37">
        <v>3321.01</v>
      </c>
      <c r="K1244" s="35">
        <v>47</v>
      </c>
      <c r="L1244" s="37">
        <v>70.66</v>
      </c>
      <c r="M1244" s="37">
        <v>5063.3100000000004</v>
      </c>
      <c r="N1244" s="38">
        <v>1.52</v>
      </c>
    </row>
    <row r="1245" spans="1:14" x14ac:dyDescent="0.3">
      <c r="A1245" s="33">
        <v>45445</v>
      </c>
      <c r="B1245" s="34" t="s">
        <v>64</v>
      </c>
      <c r="C1245" s="34" t="s">
        <v>67</v>
      </c>
      <c r="D1245" s="34" t="s">
        <v>65</v>
      </c>
      <c r="E1245" s="34" t="s">
        <v>77</v>
      </c>
      <c r="F1245" s="35">
        <v>26471</v>
      </c>
      <c r="G1245" s="35">
        <v>1890</v>
      </c>
      <c r="H1245" s="36">
        <v>7.1400000000000005E-2</v>
      </c>
      <c r="I1245" s="37">
        <v>0.94</v>
      </c>
      <c r="J1245" s="37">
        <v>1776.6</v>
      </c>
      <c r="K1245" s="35">
        <v>74</v>
      </c>
      <c r="L1245" s="37">
        <v>24.01</v>
      </c>
      <c r="M1245" s="37">
        <v>21647.86</v>
      </c>
      <c r="N1245" s="38">
        <v>12.18</v>
      </c>
    </row>
    <row r="1246" spans="1:14" x14ac:dyDescent="0.3">
      <c r="A1246" s="33">
        <v>45498</v>
      </c>
      <c r="B1246" s="34" t="s">
        <v>74</v>
      </c>
      <c r="C1246" s="34" t="s">
        <v>75</v>
      </c>
      <c r="D1246" s="34" t="s">
        <v>68</v>
      </c>
      <c r="E1246" s="34" t="s">
        <v>69</v>
      </c>
      <c r="F1246" s="35">
        <v>174048</v>
      </c>
      <c r="G1246" s="35">
        <v>3846</v>
      </c>
      <c r="H1246" s="36">
        <v>2.2100000000000002E-2</v>
      </c>
      <c r="I1246" s="37">
        <v>1.74</v>
      </c>
      <c r="J1246" s="37">
        <v>6692.04</v>
      </c>
      <c r="K1246" s="35">
        <v>75</v>
      </c>
      <c r="L1246" s="37">
        <v>89.23</v>
      </c>
      <c r="M1246" s="37">
        <v>18304.27</v>
      </c>
      <c r="N1246" s="38">
        <v>2.74</v>
      </c>
    </row>
    <row r="1247" spans="1:14" x14ac:dyDescent="0.3">
      <c r="A1247" s="33">
        <v>45383</v>
      </c>
      <c r="B1247" s="34" t="s">
        <v>74</v>
      </c>
      <c r="C1247" s="34" t="s">
        <v>61</v>
      </c>
      <c r="D1247" s="34" t="s">
        <v>68</v>
      </c>
      <c r="E1247" s="34" t="s">
        <v>78</v>
      </c>
      <c r="F1247" s="35">
        <v>8877</v>
      </c>
      <c r="G1247" s="35">
        <v>230</v>
      </c>
      <c r="H1247" s="36">
        <v>2.5999999999999999E-2</v>
      </c>
      <c r="I1247" s="37">
        <v>0.76</v>
      </c>
      <c r="J1247" s="37">
        <v>174.8</v>
      </c>
      <c r="K1247" s="35">
        <v>9</v>
      </c>
      <c r="L1247" s="37">
        <v>19.420000000000002</v>
      </c>
      <c r="M1247" s="37">
        <v>1921.06</v>
      </c>
      <c r="N1247" s="38">
        <v>10.99</v>
      </c>
    </row>
    <row r="1248" spans="1:14" x14ac:dyDescent="0.3">
      <c r="A1248" s="33">
        <v>45425</v>
      </c>
      <c r="B1248" s="34" t="s">
        <v>74</v>
      </c>
      <c r="C1248" s="34" t="s">
        <v>70</v>
      </c>
      <c r="D1248" s="34" t="s">
        <v>65</v>
      </c>
      <c r="E1248" s="34" t="s">
        <v>72</v>
      </c>
      <c r="F1248" s="35">
        <v>32488</v>
      </c>
      <c r="G1248" s="35">
        <v>919</v>
      </c>
      <c r="H1248" s="36">
        <v>2.8299999999999999E-2</v>
      </c>
      <c r="I1248" s="37">
        <v>1.93</v>
      </c>
      <c r="J1248" s="37">
        <v>1773.67</v>
      </c>
      <c r="K1248" s="35">
        <v>32</v>
      </c>
      <c r="L1248" s="37">
        <v>55.43</v>
      </c>
      <c r="M1248" s="37">
        <v>7341.13</v>
      </c>
      <c r="N1248" s="38">
        <v>4.1399999999999997</v>
      </c>
    </row>
    <row r="1249" spans="1:14" x14ac:dyDescent="0.3">
      <c r="A1249" s="33">
        <v>45606</v>
      </c>
      <c r="B1249" s="34" t="s">
        <v>60</v>
      </c>
      <c r="C1249" s="34" t="s">
        <v>61</v>
      </c>
      <c r="D1249" s="34" t="s">
        <v>68</v>
      </c>
      <c r="E1249" s="34" t="s">
        <v>69</v>
      </c>
      <c r="F1249" s="35">
        <v>77968</v>
      </c>
      <c r="G1249" s="35">
        <v>3001</v>
      </c>
      <c r="H1249" s="36">
        <v>3.85E-2</v>
      </c>
      <c r="I1249" s="37">
        <v>2.85</v>
      </c>
      <c r="J1249" s="37">
        <v>8552.85</v>
      </c>
      <c r="K1249" s="35">
        <v>193</v>
      </c>
      <c r="L1249" s="37">
        <v>44.32</v>
      </c>
      <c r="M1249" s="37">
        <v>31448.71</v>
      </c>
      <c r="N1249" s="38">
        <v>3.68</v>
      </c>
    </row>
    <row r="1250" spans="1:14" x14ac:dyDescent="0.3">
      <c r="A1250" s="33">
        <v>45504</v>
      </c>
      <c r="B1250" s="34" t="s">
        <v>64</v>
      </c>
      <c r="C1250" s="34" t="s">
        <v>67</v>
      </c>
      <c r="D1250" s="34" t="s">
        <v>62</v>
      </c>
      <c r="E1250" s="34" t="s">
        <v>63</v>
      </c>
      <c r="F1250" s="35">
        <v>10156</v>
      </c>
      <c r="G1250" s="35">
        <v>474</v>
      </c>
      <c r="H1250" s="36">
        <v>4.6699999999999998E-2</v>
      </c>
      <c r="I1250" s="37">
        <v>0.31</v>
      </c>
      <c r="J1250" s="37">
        <v>146.94</v>
      </c>
      <c r="K1250" s="35">
        <v>29</v>
      </c>
      <c r="L1250" s="37">
        <v>5.07</v>
      </c>
      <c r="M1250" s="37">
        <v>1480.61</v>
      </c>
      <c r="N1250" s="38">
        <v>10.08</v>
      </c>
    </row>
    <row r="1251" spans="1:14" x14ac:dyDescent="0.3">
      <c r="A1251" s="33">
        <v>45374</v>
      </c>
      <c r="B1251" s="34" t="s">
        <v>74</v>
      </c>
      <c r="C1251" s="34" t="s">
        <v>75</v>
      </c>
      <c r="D1251" s="34" t="s">
        <v>62</v>
      </c>
      <c r="E1251" s="34" t="s">
        <v>66</v>
      </c>
      <c r="F1251" s="35">
        <v>63676</v>
      </c>
      <c r="G1251" s="35">
        <v>1757</v>
      </c>
      <c r="H1251" s="36">
        <v>2.76E-2</v>
      </c>
      <c r="I1251" s="37">
        <v>1.1599999999999999</v>
      </c>
      <c r="J1251" s="37">
        <v>2038.12</v>
      </c>
      <c r="K1251" s="35">
        <v>137</v>
      </c>
      <c r="L1251" s="37">
        <v>14.88</v>
      </c>
      <c r="M1251" s="37">
        <v>8830.01</v>
      </c>
      <c r="N1251" s="38">
        <v>4.33</v>
      </c>
    </row>
    <row r="1252" spans="1:14" x14ac:dyDescent="0.3">
      <c r="A1252" s="33">
        <v>45472</v>
      </c>
      <c r="B1252" s="34" t="s">
        <v>60</v>
      </c>
      <c r="C1252" s="34" t="s">
        <v>67</v>
      </c>
      <c r="D1252" s="34" t="s">
        <v>65</v>
      </c>
      <c r="E1252" s="34" t="s">
        <v>63</v>
      </c>
      <c r="F1252" s="35">
        <v>93545</v>
      </c>
      <c r="G1252" s="35">
        <v>2974</v>
      </c>
      <c r="H1252" s="36">
        <v>3.1800000000000002E-2</v>
      </c>
      <c r="I1252" s="37">
        <v>1.1599999999999999</v>
      </c>
      <c r="J1252" s="37">
        <v>3449.84</v>
      </c>
      <c r="K1252" s="35">
        <v>58</v>
      </c>
      <c r="L1252" s="37">
        <v>59.48</v>
      </c>
      <c r="M1252" s="37">
        <v>4267.1099999999997</v>
      </c>
      <c r="N1252" s="38">
        <v>1.24</v>
      </c>
    </row>
    <row r="1253" spans="1:14" x14ac:dyDescent="0.3">
      <c r="A1253" s="33">
        <v>45340</v>
      </c>
      <c r="B1253" s="34" t="s">
        <v>74</v>
      </c>
      <c r="C1253" s="34" t="s">
        <v>75</v>
      </c>
      <c r="D1253" s="34" t="s">
        <v>65</v>
      </c>
      <c r="E1253" s="34" t="s">
        <v>77</v>
      </c>
      <c r="F1253" s="35">
        <v>8671</v>
      </c>
      <c r="G1253" s="35">
        <v>156</v>
      </c>
      <c r="H1253" s="36">
        <v>1.7999999999999999E-2</v>
      </c>
      <c r="I1253" s="37">
        <v>1.46</v>
      </c>
      <c r="J1253" s="37">
        <v>227.76</v>
      </c>
      <c r="K1253" s="35">
        <v>7</v>
      </c>
      <c r="L1253" s="37">
        <v>32.54</v>
      </c>
      <c r="M1253" s="37">
        <v>1461.2</v>
      </c>
      <c r="N1253" s="38">
        <v>6.42</v>
      </c>
    </row>
    <row r="1254" spans="1:14" x14ac:dyDescent="0.3">
      <c r="A1254" s="33">
        <v>45388</v>
      </c>
      <c r="B1254" s="34" t="s">
        <v>74</v>
      </c>
      <c r="C1254" s="34" t="s">
        <v>67</v>
      </c>
      <c r="D1254" s="34" t="s">
        <v>62</v>
      </c>
      <c r="E1254" s="34" t="s">
        <v>69</v>
      </c>
      <c r="F1254" s="35">
        <v>95930</v>
      </c>
      <c r="G1254" s="35">
        <v>1554</v>
      </c>
      <c r="H1254" s="36">
        <v>1.6199999999999999E-2</v>
      </c>
      <c r="I1254" s="37">
        <v>0.72</v>
      </c>
      <c r="J1254" s="37">
        <v>1118.8800000000001</v>
      </c>
      <c r="K1254" s="35">
        <v>62</v>
      </c>
      <c r="L1254" s="37">
        <v>18.05</v>
      </c>
      <c r="M1254" s="37">
        <v>5774.95</v>
      </c>
      <c r="N1254" s="38">
        <v>5.16</v>
      </c>
    </row>
    <row r="1255" spans="1:14" x14ac:dyDescent="0.3">
      <c r="A1255" s="33">
        <v>45496</v>
      </c>
      <c r="B1255" s="34" t="s">
        <v>60</v>
      </c>
      <c r="C1255" s="34" t="s">
        <v>75</v>
      </c>
      <c r="D1255" s="34" t="s">
        <v>76</v>
      </c>
      <c r="E1255" s="34" t="s">
        <v>78</v>
      </c>
      <c r="F1255" s="35">
        <v>73683</v>
      </c>
      <c r="G1255" s="35">
        <v>3757</v>
      </c>
      <c r="H1255" s="36">
        <v>5.0999999999999997E-2</v>
      </c>
      <c r="I1255" s="37">
        <v>3.32</v>
      </c>
      <c r="J1255" s="37">
        <v>12473.24</v>
      </c>
      <c r="K1255" s="35">
        <v>131</v>
      </c>
      <c r="L1255" s="37">
        <v>95.22</v>
      </c>
      <c r="M1255" s="37">
        <v>33721.519999999997</v>
      </c>
      <c r="N1255" s="38">
        <v>2.7</v>
      </c>
    </row>
    <row r="1256" spans="1:14" x14ac:dyDescent="0.3">
      <c r="A1256" s="33">
        <v>45490</v>
      </c>
      <c r="B1256" s="34" t="s">
        <v>74</v>
      </c>
      <c r="C1256" s="34" t="s">
        <v>70</v>
      </c>
      <c r="D1256" s="34" t="s">
        <v>71</v>
      </c>
      <c r="E1256" s="34" t="s">
        <v>77</v>
      </c>
      <c r="F1256" s="35">
        <v>152932</v>
      </c>
      <c r="G1256" s="35">
        <v>6591</v>
      </c>
      <c r="H1256" s="36">
        <v>4.3099999999999999E-2</v>
      </c>
      <c r="I1256" s="37">
        <v>1.25</v>
      </c>
      <c r="J1256" s="37">
        <v>8238.75</v>
      </c>
      <c r="K1256" s="35">
        <v>200</v>
      </c>
      <c r="L1256" s="37">
        <v>41.19</v>
      </c>
      <c r="M1256" s="37">
        <v>14211.23</v>
      </c>
      <c r="N1256" s="38">
        <v>1.72</v>
      </c>
    </row>
    <row r="1257" spans="1:14" x14ac:dyDescent="0.3">
      <c r="A1257" s="33">
        <v>45352</v>
      </c>
      <c r="B1257" s="34" t="s">
        <v>64</v>
      </c>
      <c r="C1257" s="34" t="s">
        <v>70</v>
      </c>
      <c r="D1257" s="34" t="s">
        <v>71</v>
      </c>
      <c r="E1257" s="34" t="s">
        <v>63</v>
      </c>
      <c r="F1257" s="35">
        <v>125354</v>
      </c>
      <c r="G1257" s="35">
        <v>6179</v>
      </c>
      <c r="H1257" s="36">
        <v>4.9299999999999997E-2</v>
      </c>
      <c r="I1257" s="37">
        <v>0.35</v>
      </c>
      <c r="J1257" s="37">
        <v>2162.65</v>
      </c>
      <c r="K1257" s="35">
        <v>259</v>
      </c>
      <c r="L1257" s="37">
        <v>8.35</v>
      </c>
      <c r="M1257" s="37">
        <v>9238.1200000000008</v>
      </c>
      <c r="N1257" s="38">
        <v>4.2699999999999996</v>
      </c>
    </row>
    <row r="1258" spans="1:14" x14ac:dyDescent="0.3">
      <c r="A1258" s="33">
        <v>45541</v>
      </c>
      <c r="B1258" s="34" t="s">
        <v>60</v>
      </c>
      <c r="C1258" s="34" t="s">
        <v>70</v>
      </c>
      <c r="D1258" s="34" t="s">
        <v>76</v>
      </c>
      <c r="E1258" s="34" t="s">
        <v>73</v>
      </c>
      <c r="F1258" s="35">
        <v>193613</v>
      </c>
      <c r="G1258" s="35">
        <v>9157</v>
      </c>
      <c r="H1258" s="36">
        <v>4.7300000000000002E-2</v>
      </c>
      <c r="I1258" s="37">
        <v>2.79</v>
      </c>
      <c r="J1258" s="37">
        <v>25548.03</v>
      </c>
      <c r="K1258" s="35">
        <v>458</v>
      </c>
      <c r="L1258" s="37">
        <v>55.78</v>
      </c>
      <c r="M1258" s="37">
        <v>127981.37</v>
      </c>
      <c r="N1258" s="38">
        <v>5.01</v>
      </c>
    </row>
    <row r="1259" spans="1:14" x14ac:dyDescent="0.3">
      <c r="A1259" s="33">
        <v>45621</v>
      </c>
      <c r="B1259" s="34" t="s">
        <v>60</v>
      </c>
      <c r="C1259" s="34" t="s">
        <v>75</v>
      </c>
      <c r="D1259" s="34" t="s">
        <v>65</v>
      </c>
      <c r="E1259" s="34" t="s">
        <v>78</v>
      </c>
      <c r="F1259" s="35">
        <v>158138</v>
      </c>
      <c r="G1259" s="35">
        <v>2846</v>
      </c>
      <c r="H1259" s="36">
        <v>1.7999999999999999E-2</v>
      </c>
      <c r="I1259" s="37">
        <v>2.04</v>
      </c>
      <c r="J1259" s="37">
        <v>5805.84</v>
      </c>
      <c r="K1259" s="35">
        <v>143</v>
      </c>
      <c r="L1259" s="37">
        <v>40.6</v>
      </c>
      <c r="M1259" s="37">
        <v>22164.01</v>
      </c>
      <c r="N1259" s="38">
        <v>3.82</v>
      </c>
    </row>
    <row r="1260" spans="1:14" x14ac:dyDescent="0.3">
      <c r="A1260" s="33">
        <v>45471</v>
      </c>
      <c r="B1260" s="34" t="s">
        <v>60</v>
      </c>
      <c r="C1260" s="34" t="s">
        <v>67</v>
      </c>
      <c r="D1260" s="34" t="s">
        <v>68</v>
      </c>
      <c r="E1260" s="34" t="s">
        <v>63</v>
      </c>
      <c r="F1260" s="35">
        <v>134814</v>
      </c>
      <c r="G1260" s="35">
        <v>2804</v>
      </c>
      <c r="H1260" s="36">
        <v>2.0799999999999999E-2</v>
      </c>
      <c r="I1260" s="37">
        <v>1.91</v>
      </c>
      <c r="J1260" s="37">
        <v>5355.64</v>
      </c>
      <c r="K1260" s="35">
        <v>195</v>
      </c>
      <c r="L1260" s="37">
        <v>27.46</v>
      </c>
      <c r="M1260" s="37">
        <v>46646.16</v>
      </c>
      <c r="N1260" s="38">
        <v>8.7100000000000009</v>
      </c>
    </row>
    <row r="1261" spans="1:14" x14ac:dyDescent="0.3">
      <c r="A1261" s="33">
        <v>45341</v>
      </c>
      <c r="B1261" s="34" t="s">
        <v>60</v>
      </c>
      <c r="C1261" s="34" t="s">
        <v>61</v>
      </c>
      <c r="D1261" s="34" t="s">
        <v>76</v>
      </c>
      <c r="E1261" s="34" t="s">
        <v>78</v>
      </c>
      <c r="F1261" s="35">
        <v>102366</v>
      </c>
      <c r="G1261" s="35">
        <v>2589</v>
      </c>
      <c r="H1261" s="36">
        <v>2.53E-2</v>
      </c>
      <c r="I1261" s="37">
        <v>1.59</v>
      </c>
      <c r="J1261" s="37">
        <v>4116.51</v>
      </c>
      <c r="K1261" s="35">
        <v>148</v>
      </c>
      <c r="L1261" s="37">
        <v>27.81</v>
      </c>
      <c r="M1261" s="37">
        <v>35080.15</v>
      </c>
      <c r="N1261" s="38">
        <v>8.52</v>
      </c>
    </row>
    <row r="1262" spans="1:14" x14ac:dyDescent="0.3">
      <c r="A1262" s="33">
        <v>45436</v>
      </c>
      <c r="B1262" s="34" t="s">
        <v>74</v>
      </c>
      <c r="C1262" s="34" t="s">
        <v>75</v>
      </c>
      <c r="D1262" s="34" t="s">
        <v>68</v>
      </c>
      <c r="E1262" s="34" t="s">
        <v>73</v>
      </c>
      <c r="F1262" s="35">
        <v>159044</v>
      </c>
      <c r="G1262" s="35">
        <v>2385</v>
      </c>
      <c r="H1262" s="36">
        <v>1.4999999999999999E-2</v>
      </c>
      <c r="I1262" s="37">
        <v>1.65</v>
      </c>
      <c r="J1262" s="37">
        <v>3935.25</v>
      </c>
      <c r="K1262" s="35">
        <v>184</v>
      </c>
      <c r="L1262" s="37">
        <v>21.39</v>
      </c>
      <c r="M1262" s="37">
        <v>35387.51</v>
      </c>
      <c r="N1262" s="38">
        <v>8.99</v>
      </c>
    </row>
    <row r="1263" spans="1:14" x14ac:dyDescent="0.3">
      <c r="A1263" s="33">
        <v>45404</v>
      </c>
      <c r="B1263" s="34" t="s">
        <v>64</v>
      </c>
      <c r="C1263" s="34" t="s">
        <v>70</v>
      </c>
      <c r="D1263" s="34" t="s">
        <v>65</v>
      </c>
      <c r="E1263" s="34" t="s">
        <v>69</v>
      </c>
      <c r="F1263" s="35">
        <v>35932</v>
      </c>
      <c r="G1263" s="35">
        <v>1440</v>
      </c>
      <c r="H1263" s="36">
        <v>4.0099999999999997E-2</v>
      </c>
      <c r="I1263" s="37">
        <v>0.91</v>
      </c>
      <c r="J1263" s="37">
        <v>1310.4000000000001</v>
      </c>
      <c r="K1263" s="35">
        <v>68</v>
      </c>
      <c r="L1263" s="37">
        <v>19.27</v>
      </c>
      <c r="M1263" s="37">
        <v>16668.75</v>
      </c>
      <c r="N1263" s="38">
        <v>12.72</v>
      </c>
    </row>
    <row r="1264" spans="1:14" x14ac:dyDescent="0.3">
      <c r="A1264" s="33">
        <v>45383</v>
      </c>
      <c r="B1264" s="34" t="s">
        <v>64</v>
      </c>
      <c r="C1264" s="34" t="s">
        <v>75</v>
      </c>
      <c r="D1264" s="34" t="s">
        <v>65</v>
      </c>
      <c r="E1264" s="34" t="s">
        <v>78</v>
      </c>
      <c r="F1264" s="35">
        <v>116561</v>
      </c>
      <c r="G1264" s="35">
        <v>4231</v>
      </c>
      <c r="H1264" s="36">
        <v>3.6299999999999999E-2</v>
      </c>
      <c r="I1264" s="37">
        <v>1</v>
      </c>
      <c r="J1264" s="37">
        <v>4231</v>
      </c>
      <c r="K1264" s="35">
        <v>172</v>
      </c>
      <c r="L1264" s="37">
        <v>24.6</v>
      </c>
      <c r="M1264" s="37">
        <v>42291.58</v>
      </c>
      <c r="N1264" s="38">
        <v>10</v>
      </c>
    </row>
    <row r="1265" spans="1:14" x14ac:dyDescent="0.3">
      <c r="A1265" s="33">
        <v>45480</v>
      </c>
      <c r="B1265" s="34" t="s">
        <v>74</v>
      </c>
      <c r="C1265" s="34" t="s">
        <v>70</v>
      </c>
      <c r="D1265" s="34" t="s">
        <v>62</v>
      </c>
      <c r="E1265" s="34" t="s">
        <v>78</v>
      </c>
      <c r="F1265" s="35">
        <v>8608</v>
      </c>
      <c r="G1265" s="35">
        <v>100</v>
      </c>
      <c r="H1265" s="36">
        <v>1.17E-2</v>
      </c>
      <c r="I1265" s="37">
        <v>0.57999999999999996</v>
      </c>
      <c r="J1265" s="37">
        <v>58</v>
      </c>
      <c r="K1265" s="35">
        <v>3</v>
      </c>
      <c r="L1265" s="37">
        <v>19.329999999999998</v>
      </c>
      <c r="M1265" s="37">
        <v>661.12</v>
      </c>
      <c r="N1265" s="38">
        <v>11.4</v>
      </c>
    </row>
    <row r="1266" spans="1:14" x14ac:dyDescent="0.3">
      <c r="A1266" s="33">
        <v>45523</v>
      </c>
      <c r="B1266" s="34" t="s">
        <v>74</v>
      </c>
      <c r="C1266" s="34" t="s">
        <v>61</v>
      </c>
      <c r="D1266" s="34" t="s">
        <v>76</v>
      </c>
      <c r="E1266" s="34" t="s">
        <v>63</v>
      </c>
      <c r="F1266" s="35">
        <v>19284</v>
      </c>
      <c r="G1266" s="35">
        <v>642</v>
      </c>
      <c r="H1266" s="36">
        <v>3.3300000000000003E-2</v>
      </c>
      <c r="I1266" s="37">
        <v>1.57</v>
      </c>
      <c r="J1266" s="37">
        <v>1007.94</v>
      </c>
      <c r="K1266" s="35">
        <v>21</v>
      </c>
      <c r="L1266" s="37">
        <v>48</v>
      </c>
      <c r="M1266" s="37">
        <v>5907.29</v>
      </c>
      <c r="N1266" s="38">
        <v>5.86</v>
      </c>
    </row>
    <row r="1267" spans="1:14" x14ac:dyDescent="0.3">
      <c r="A1267" s="33">
        <v>45358</v>
      </c>
      <c r="B1267" s="34" t="s">
        <v>74</v>
      </c>
      <c r="C1267" s="34" t="s">
        <v>75</v>
      </c>
      <c r="D1267" s="34" t="s">
        <v>62</v>
      </c>
      <c r="E1267" s="34" t="s">
        <v>77</v>
      </c>
      <c r="F1267" s="35">
        <v>161764</v>
      </c>
      <c r="G1267" s="35">
        <v>2652</v>
      </c>
      <c r="H1267" s="36">
        <v>1.6400000000000001E-2</v>
      </c>
      <c r="I1267" s="37">
        <v>0.99</v>
      </c>
      <c r="J1267" s="37">
        <v>2625.48</v>
      </c>
      <c r="K1267" s="35">
        <v>76</v>
      </c>
      <c r="L1267" s="37">
        <v>34.549999999999997</v>
      </c>
      <c r="M1267" s="37">
        <v>16956.509999999998</v>
      </c>
      <c r="N1267" s="38">
        <v>6.46</v>
      </c>
    </row>
    <row r="1268" spans="1:14" x14ac:dyDescent="0.3">
      <c r="A1268" s="33">
        <v>45637</v>
      </c>
      <c r="B1268" s="34" t="s">
        <v>64</v>
      </c>
      <c r="C1268" s="34" t="s">
        <v>67</v>
      </c>
      <c r="D1268" s="34" t="s">
        <v>62</v>
      </c>
      <c r="E1268" s="34" t="s">
        <v>72</v>
      </c>
      <c r="F1268" s="35">
        <v>116045</v>
      </c>
      <c r="G1268" s="35">
        <v>6660</v>
      </c>
      <c r="H1268" s="36">
        <v>5.74E-2</v>
      </c>
      <c r="I1268" s="37">
        <v>0.35</v>
      </c>
      <c r="J1268" s="37">
        <v>2331</v>
      </c>
      <c r="K1268" s="35">
        <v>467</v>
      </c>
      <c r="L1268" s="37">
        <v>4.99</v>
      </c>
      <c r="M1268" s="37">
        <v>76092.649999999994</v>
      </c>
      <c r="N1268" s="38">
        <v>32.64</v>
      </c>
    </row>
    <row r="1269" spans="1:14" x14ac:dyDescent="0.3">
      <c r="A1269" s="33">
        <v>45449</v>
      </c>
      <c r="B1269" s="34" t="s">
        <v>74</v>
      </c>
      <c r="C1269" s="34" t="s">
        <v>70</v>
      </c>
      <c r="D1269" s="34" t="s">
        <v>76</v>
      </c>
      <c r="E1269" s="34" t="s">
        <v>66</v>
      </c>
      <c r="F1269" s="35">
        <v>61395</v>
      </c>
      <c r="G1269" s="35">
        <v>2038</v>
      </c>
      <c r="H1269" s="36">
        <v>3.32E-2</v>
      </c>
      <c r="I1269" s="37">
        <v>2.36</v>
      </c>
      <c r="J1269" s="37">
        <v>4809.68</v>
      </c>
      <c r="K1269" s="35">
        <v>102</v>
      </c>
      <c r="L1269" s="37">
        <v>47.15</v>
      </c>
      <c r="M1269" s="37">
        <v>16290.15</v>
      </c>
      <c r="N1269" s="38">
        <v>3.39</v>
      </c>
    </row>
    <row r="1270" spans="1:14" x14ac:dyDescent="0.3">
      <c r="A1270" s="33">
        <v>45384</v>
      </c>
      <c r="B1270" s="34" t="s">
        <v>60</v>
      </c>
      <c r="C1270" s="34" t="s">
        <v>70</v>
      </c>
      <c r="D1270" s="34" t="s">
        <v>65</v>
      </c>
      <c r="E1270" s="34" t="s">
        <v>63</v>
      </c>
      <c r="F1270" s="35">
        <v>119183</v>
      </c>
      <c r="G1270" s="35">
        <v>5041</v>
      </c>
      <c r="H1270" s="36">
        <v>4.2299999999999997E-2</v>
      </c>
      <c r="I1270" s="37">
        <v>3.38</v>
      </c>
      <c r="J1270" s="37">
        <v>17038.580000000002</v>
      </c>
      <c r="K1270" s="35">
        <v>121</v>
      </c>
      <c r="L1270" s="37">
        <v>140.81</v>
      </c>
      <c r="M1270" s="37">
        <v>25438.17</v>
      </c>
      <c r="N1270" s="38">
        <v>1.49</v>
      </c>
    </row>
    <row r="1271" spans="1:14" x14ac:dyDescent="0.3">
      <c r="A1271" s="33">
        <v>45569</v>
      </c>
      <c r="B1271" s="34" t="s">
        <v>74</v>
      </c>
      <c r="C1271" s="34" t="s">
        <v>61</v>
      </c>
      <c r="D1271" s="34" t="s">
        <v>76</v>
      </c>
      <c r="E1271" s="34" t="s">
        <v>63</v>
      </c>
      <c r="F1271" s="35">
        <v>26747</v>
      </c>
      <c r="G1271" s="35">
        <v>1099</v>
      </c>
      <c r="H1271" s="36">
        <v>4.1099999999999998E-2</v>
      </c>
      <c r="I1271" s="37">
        <v>1.1399999999999999</v>
      </c>
      <c r="J1271" s="37">
        <v>1252.8599999999999</v>
      </c>
      <c r="K1271" s="35">
        <v>36</v>
      </c>
      <c r="L1271" s="37">
        <v>34.799999999999997</v>
      </c>
      <c r="M1271" s="37">
        <v>5626.79</v>
      </c>
      <c r="N1271" s="38">
        <v>4.49</v>
      </c>
    </row>
    <row r="1272" spans="1:14" x14ac:dyDescent="0.3">
      <c r="A1272" s="33">
        <v>45642</v>
      </c>
      <c r="B1272" s="34" t="s">
        <v>74</v>
      </c>
      <c r="C1272" s="34" t="s">
        <v>75</v>
      </c>
      <c r="D1272" s="34" t="s">
        <v>65</v>
      </c>
      <c r="E1272" s="34" t="s">
        <v>72</v>
      </c>
      <c r="F1272" s="35">
        <v>157898</v>
      </c>
      <c r="G1272" s="35">
        <v>3094</v>
      </c>
      <c r="H1272" s="36">
        <v>1.9599999999999999E-2</v>
      </c>
      <c r="I1272" s="37">
        <v>2.39</v>
      </c>
      <c r="J1272" s="37">
        <v>7394.66</v>
      </c>
      <c r="K1272" s="35">
        <v>245</v>
      </c>
      <c r="L1272" s="37">
        <v>30.18</v>
      </c>
      <c r="M1272" s="37">
        <v>72430.36</v>
      </c>
      <c r="N1272" s="38">
        <v>9.7899999999999991</v>
      </c>
    </row>
    <row r="1273" spans="1:14" x14ac:dyDescent="0.3">
      <c r="A1273" s="33">
        <v>45470</v>
      </c>
      <c r="B1273" s="34" t="s">
        <v>74</v>
      </c>
      <c r="C1273" s="34" t="s">
        <v>61</v>
      </c>
      <c r="D1273" s="34" t="s">
        <v>68</v>
      </c>
      <c r="E1273" s="34" t="s">
        <v>69</v>
      </c>
      <c r="F1273" s="35">
        <v>49456</v>
      </c>
      <c r="G1273" s="35">
        <v>801</v>
      </c>
      <c r="H1273" s="36">
        <v>1.6199999999999999E-2</v>
      </c>
      <c r="I1273" s="37">
        <v>1.86</v>
      </c>
      <c r="J1273" s="37">
        <v>1489.86</v>
      </c>
      <c r="K1273" s="35">
        <v>50</v>
      </c>
      <c r="L1273" s="37">
        <v>29.8</v>
      </c>
      <c r="M1273" s="37">
        <v>4108.2</v>
      </c>
      <c r="N1273" s="38">
        <v>2.76</v>
      </c>
    </row>
    <row r="1274" spans="1:14" x14ac:dyDescent="0.3">
      <c r="A1274" s="33">
        <v>45339</v>
      </c>
      <c r="B1274" s="34" t="s">
        <v>60</v>
      </c>
      <c r="C1274" s="34" t="s">
        <v>67</v>
      </c>
      <c r="D1274" s="34" t="s">
        <v>71</v>
      </c>
      <c r="E1274" s="34" t="s">
        <v>73</v>
      </c>
      <c r="F1274" s="35">
        <v>150213</v>
      </c>
      <c r="G1274" s="35">
        <v>5242</v>
      </c>
      <c r="H1274" s="36">
        <v>3.49E-2</v>
      </c>
      <c r="I1274" s="37">
        <v>3.15</v>
      </c>
      <c r="J1274" s="37">
        <v>16512.3</v>
      </c>
      <c r="K1274" s="35">
        <v>332</v>
      </c>
      <c r="L1274" s="37">
        <v>49.74</v>
      </c>
      <c r="M1274" s="37">
        <v>64497.69</v>
      </c>
      <c r="N1274" s="38">
        <v>3.91</v>
      </c>
    </row>
    <row r="1275" spans="1:14" x14ac:dyDescent="0.3">
      <c r="A1275" s="33">
        <v>45298</v>
      </c>
      <c r="B1275" s="34" t="s">
        <v>60</v>
      </c>
      <c r="C1275" s="34" t="s">
        <v>70</v>
      </c>
      <c r="D1275" s="34" t="s">
        <v>65</v>
      </c>
      <c r="E1275" s="34" t="s">
        <v>69</v>
      </c>
      <c r="F1275" s="35">
        <v>73305</v>
      </c>
      <c r="G1275" s="35">
        <v>3635</v>
      </c>
      <c r="H1275" s="36">
        <v>4.9599999999999998E-2</v>
      </c>
      <c r="I1275" s="37">
        <v>2.48</v>
      </c>
      <c r="J1275" s="37">
        <v>9014.7999999999993</v>
      </c>
      <c r="K1275" s="35">
        <v>47</v>
      </c>
      <c r="L1275" s="37">
        <v>191.8</v>
      </c>
      <c r="M1275" s="37">
        <v>2210.35</v>
      </c>
      <c r="N1275" s="38">
        <v>0.25</v>
      </c>
    </row>
    <row r="1276" spans="1:14" x14ac:dyDescent="0.3">
      <c r="A1276" s="33">
        <v>45465</v>
      </c>
      <c r="B1276" s="34" t="s">
        <v>64</v>
      </c>
      <c r="C1276" s="34" t="s">
        <v>75</v>
      </c>
      <c r="D1276" s="34" t="s">
        <v>62</v>
      </c>
      <c r="E1276" s="34" t="s">
        <v>66</v>
      </c>
      <c r="F1276" s="35">
        <v>187663</v>
      </c>
      <c r="G1276" s="35">
        <v>10790</v>
      </c>
      <c r="H1276" s="36">
        <v>5.7500000000000002E-2</v>
      </c>
      <c r="I1276" s="37">
        <v>0.69</v>
      </c>
      <c r="J1276" s="37">
        <v>7445.1</v>
      </c>
      <c r="K1276" s="35">
        <v>121</v>
      </c>
      <c r="L1276" s="37">
        <v>61.53</v>
      </c>
      <c r="M1276" s="37">
        <v>18190.79</v>
      </c>
      <c r="N1276" s="38">
        <v>2.44</v>
      </c>
    </row>
    <row r="1277" spans="1:14" x14ac:dyDescent="0.3">
      <c r="A1277" s="33">
        <v>45596</v>
      </c>
      <c r="B1277" s="34" t="s">
        <v>64</v>
      </c>
      <c r="C1277" s="34" t="s">
        <v>75</v>
      </c>
      <c r="D1277" s="34" t="s">
        <v>68</v>
      </c>
      <c r="E1277" s="34" t="s">
        <v>69</v>
      </c>
      <c r="F1277" s="35">
        <v>85066</v>
      </c>
      <c r="G1277" s="35">
        <v>5903</v>
      </c>
      <c r="H1277" s="36">
        <v>6.9400000000000003E-2</v>
      </c>
      <c r="I1277" s="37">
        <v>1.3</v>
      </c>
      <c r="J1277" s="37">
        <v>7673.9</v>
      </c>
      <c r="K1277" s="35">
        <v>465</v>
      </c>
      <c r="L1277" s="37">
        <v>16.5</v>
      </c>
      <c r="M1277" s="37">
        <v>85397.14</v>
      </c>
      <c r="N1277" s="38">
        <v>11.13</v>
      </c>
    </row>
    <row r="1278" spans="1:14" x14ac:dyDescent="0.3">
      <c r="A1278" s="33">
        <v>45327</v>
      </c>
      <c r="B1278" s="34" t="s">
        <v>60</v>
      </c>
      <c r="C1278" s="34" t="s">
        <v>70</v>
      </c>
      <c r="D1278" s="34" t="s">
        <v>65</v>
      </c>
      <c r="E1278" s="34" t="s">
        <v>69</v>
      </c>
      <c r="F1278" s="35">
        <v>12045</v>
      </c>
      <c r="G1278" s="35">
        <v>255</v>
      </c>
      <c r="H1278" s="36">
        <v>2.12E-2</v>
      </c>
      <c r="I1278" s="37">
        <v>2.02</v>
      </c>
      <c r="J1278" s="37">
        <v>515.1</v>
      </c>
      <c r="K1278" s="35">
        <v>4</v>
      </c>
      <c r="L1278" s="37">
        <v>128.78</v>
      </c>
      <c r="M1278" s="37">
        <v>161.02000000000001</v>
      </c>
      <c r="N1278" s="38">
        <v>0.31</v>
      </c>
    </row>
    <row r="1279" spans="1:14" x14ac:dyDescent="0.3">
      <c r="A1279" s="33">
        <v>45420</v>
      </c>
      <c r="B1279" s="34" t="s">
        <v>60</v>
      </c>
      <c r="C1279" s="34" t="s">
        <v>67</v>
      </c>
      <c r="D1279" s="34" t="s">
        <v>62</v>
      </c>
      <c r="E1279" s="34" t="s">
        <v>63</v>
      </c>
      <c r="F1279" s="35">
        <v>77796</v>
      </c>
      <c r="G1279" s="35">
        <v>3703</v>
      </c>
      <c r="H1279" s="36">
        <v>4.7600000000000003E-2</v>
      </c>
      <c r="I1279" s="37">
        <v>2.67</v>
      </c>
      <c r="J1279" s="37">
        <v>9887.01</v>
      </c>
      <c r="K1279" s="35">
        <v>182</v>
      </c>
      <c r="L1279" s="37">
        <v>54.32</v>
      </c>
      <c r="M1279" s="37">
        <v>43235.35</v>
      </c>
      <c r="N1279" s="38">
        <v>4.37</v>
      </c>
    </row>
    <row r="1280" spans="1:14" x14ac:dyDescent="0.3">
      <c r="A1280" s="33">
        <v>45327</v>
      </c>
      <c r="B1280" s="34" t="s">
        <v>64</v>
      </c>
      <c r="C1280" s="34" t="s">
        <v>70</v>
      </c>
      <c r="D1280" s="34" t="s">
        <v>62</v>
      </c>
      <c r="E1280" s="34" t="s">
        <v>66</v>
      </c>
      <c r="F1280" s="35">
        <v>90443</v>
      </c>
      <c r="G1280" s="35">
        <v>3789</v>
      </c>
      <c r="H1280" s="36">
        <v>4.19E-2</v>
      </c>
      <c r="I1280" s="37">
        <v>0.56999999999999995</v>
      </c>
      <c r="J1280" s="37">
        <v>2159.73</v>
      </c>
      <c r="K1280" s="35">
        <v>94</v>
      </c>
      <c r="L1280" s="37">
        <v>22.98</v>
      </c>
      <c r="M1280" s="37">
        <v>16003.58</v>
      </c>
      <c r="N1280" s="38">
        <v>7.41</v>
      </c>
    </row>
    <row r="1281" spans="1:14" x14ac:dyDescent="0.3">
      <c r="A1281" s="33">
        <v>45368</v>
      </c>
      <c r="B1281" s="34" t="s">
        <v>74</v>
      </c>
      <c r="C1281" s="34" t="s">
        <v>75</v>
      </c>
      <c r="D1281" s="34" t="s">
        <v>76</v>
      </c>
      <c r="E1281" s="34" t="s">
        <v>73</v>
      </c>
      <c r="F1281" s="35">
        <v>52838</v>
      </c>
      <c r="G1281" s="35">
        <v>660</v>
      </c>
      <c r="H1281" s="36">
        <v>1.2500000000000001E-2</v>
      </c>
      <c r="I1281" s="37">
        <v>1.78</v>
      </c>
      <c r="J1281" s="37">
        <v>1174.8</v>
      </c>
      <c r="K1281" s="35">
        <v>14</v>
      </c>
      <c r="L1281" s="37">
        <v>83.91</v>
      </c>
      <c r="M1281" s="37">
        <v>2258.16</v>
      </c>
      <c r="N1281" s="38">
        <v>1.92</v>
      </c>
    </row>
    <row r="1282" spans="1:14" x14ac:dyDescent="0.3">
      <c r="A1282" s="33">
        <v>45456</v>
      </c>
      <c r="B1282" s="34" t="s">
        <v>74</v>
      </c>
      <c r="C1282" s="34" t="s">
        <v>67</v>
      </c>
      <c r="D1282" s="34" t="s">
        <v>76</v>
      </c>
      <c r="E1282" s="34" t="s">
        <v>78</v>
      </c>
      <c r="F1282" s="35">
        <v>61284</v>
      </c>
      <c r="G1282" s="35">
        <v>1574</v>
      </c>
      <c r="H1282" s="36">
        <v>2.5700000000000001E-2</v>
      </c>
      <c r="I1282" s="37">
        <v>1.52</v>
      </c>
      <c r="J1282" s="37">
        <v>2392.48</v>
      </c>
      <c r="K1282" s="35">
        <v>32</v>
      </c>
      <c r="L1282" s="37">
        <v>74.77</v>
      </c>
      <c r="M1282" s="37">
        <v>3680.82</v>
      </c>
      <c r="N1282" s="38">
        <v>1.54</v>
      </c>
    </row>
    <row r="1283" spans="1:14" x14ac:dyDescent="0.3">
      <c r="A1283" s="33">
        <v>45293</v>
      </c>
      <c r="B1283" s="34" t="s">
        <v>74</v>
      </c>
      <c r="C1283" s="34" t="s">
        <v>61</v>
      </c>
      <c r="D1283" s="34" t="s">
        <v>68</v>
      </c>
      <c r="E1283" s="34" t="s">
        <v>77</v>
      </c>
      <c r="F1283" s="35">
        <v>163624</v>
      </c>
      <c r="G1283" s="35">
        <v>4368</v>
      </c>
      <c r="H1283" s="36">
        <v>2.6700000000000002E-2</v>
      </c>
      <c r="I1283" s="37">
        <v>1.28</v>
      </c>
      <c r="J1283" s="37">
        <v>5591.04</v>
      </c>
      <c r="K1283" s="35">
        <v>296</v>
      </c>
      <c r="L1283" s="37">
        <v>18.89</v>
      </c>
      <c r="M1283" s="37">
        <v>31041.33</v>
      </c>
      <c r="N1283" s="38">
        <v>5.55</v>
      </c>
    </row>
    <row r="1284" spans="1:14" x14ac:dyDescent="0.3">
      <c r="A1284" s="33">
        <v>45451</v>
      </c>
      <c r="B1284" s="34" t="s">
        <v>74</v>
      </c>
      <c r="C1284" s="34" t="s">
        <v>75</v>
      </c>
      <c r="D1284" s="34" t="s">
        <v>68</v>
      </c>
      <c r="E1284" s="34" t="s">
        <v>66</v>
      </c>
      <c r="F1284" s="35">
        <v>194674</v>
      </c>
      <c r="G1284" s="35">
        <v>3601</v>
      </c>
      <c r="H1284" s="36">
        <v>1.8499999999999999E-2</v>
      </c>
      <c r="I1284" s="37">
        <v>1.45</v>
      </c>
      <c r="J1284" s="37">
        <v>5221.45</v>
      </c>
      <c r="K1284" s="35">
        <v>165</v>
      </c>
      <c r="L1284" s="37">
        <v>31.65</v>
      </c>
      <c r="M1284" s="37">
        <v>8945.17</v>
      </c>
      <c r="N1284" s="38">
        <v>1.71</v>
      </c>
    </row>
    <row r="1285" spans="1:14" x14ac:dyDescent="0.3">
      <c r="A1285" s="33">
        <v>45552</v>
      </c>
      <c r="B1285" s="34" t="s">
        <v>74</v>
      </c>
      <c r="C1285" s="34" t="s">
        <v>61</v>
      </c>
      <c r="D1285" s="34" t="s">
        <v>68</v>
      </c>
      <c r="E1285" s="34" t="s">
        <v>77</v>
      </c>
      <c r="F1285" s="35">
        <v>15485</v>
      </c>
      <c r="G1285" s="35">
        <v>196</v>
      </c>
      <c r="H1285" s="36">
        <v>1.2699999999999999E-2</v>
      </c>
      <c r="I1285" s="37">
        <v>1.54</v>
      </c>
      <c r="J1285" s="37">
        <v>301.83999999999997</v>
      </c>
      <c r="K1285" s="35">
        <v>8</v>
      </c>
      <c r="L1285" s="37">
        <v>37.729999999999997</v>
      </c>
      <c r="M1285" s="37">
        <v>362.78</v>
      </c>
      <c r="N1285" s="38">
        <v>1.2</v>
      </c>
    </row>
    <row r="1286" spans="1:14" x14ac:dyDescent="0.3">
      <c r="A1286" s="33">
        <v>45368</v>
      </c>
      <c r="B1286" s="34" t="s">
        <v>60</v>
      </c>
      <c r="C1286" s="34" t="s">
        <v>61</v>
      </c>
      <c r="D1286" s="34" t="s">
        <v>62</v>
      </c>
      <c r="E1286" s="34" t="s">
        <v>72</v>
      </c>
      <c r="F1286" s="35">
        <v>138154</v>
      </c>
      <c r="G1286" s="35">
        <v>9518</v>
      </c>
      <c r="H1286" s="36">
        <v>6.8900000000000003E-2</v>
      </c>
      <c r="I1286" s="37">
        <v>2.2200000000000002</v>
      </c>
      <c r="J1286" s="37">
        <v>21129.96</v>
      </c>
      <c r="K1286" s="35">
        <v>534</v>
      </c>
      <c r="L1286" s="37">
        <v>39.57</v>
      </c>
      <c r="M1286" s="37">
        <v>24562.44</v>
      </c>
      <c r="N1286" s="38">
        <v>1.1599999999999999</v>
      </c>
    </row>
    <row r="1287" spans="1:14" x14ac:dyDescent="0.3">
      <c r="A1287" s="33">
        <v>45441</v>
      </c>
      <c r="B1287" s="34" t="s">
        <v>64</v>
      </c>
      <c r="C1287" s="34" t="s">
        <v>67</v>
      </c>
      <c r="D1287" s="34" t="s">
        <v>62</v>
      </c>
      <c r="E1287" s="34" t="s">
        <v>69</v>
      </c>
      <c r="F1287" s="35">
        <v>76922</v>
      </c>
      <c r="G1287" s="35">
        <v>2669</v>
      </c>
      <c r="H1287" s="36">
        <v>3.4700000000000002E-2</v>
      </c>
      <c r="I1287" s="37">
        <v>1.32</v>
      </c>
      <c r="J1287" s="37">
        <v>3523.08</v>
      </c>
      <c r="K1287" s="35">
        <v>110</v>
      </c>
      <c r="L1287" s="37">
        <v>32.03</v>
      </c>
      <c r="M1287" s="37">
        <v>12940.72</v>
      </c>
      <c r="N1287" s="38">
        <v>3.67</v>
      </c>
    </row>
    <row r="1288" spans="1:14" x14ac:dyDescent="0.3">
      <c r="A1288" s="33">
        <v>45516</v>
      </c>
      <c r="B1288" s="34" t="s">
        <v>60</v>
      </c>
      <c r="C1288" s="34" t="s">
        <v>70</v>
      </c>
      <c r="D1288" s="34" t="s">
        <v>65</v>
      </c>
      <c r="E1288" s="34" t="s">
        <v>72</v>
      </c>
      <c r="F1288" s="35">
        <v>13947</v>
      </c>
      <c r="G1288" s="35">
        <v>718</v>
      </c>
      <c r="H1288" s="36">
        <v>5.1499999999999997E-2</v>
      </c>
      <c r="I1288" s="37">
        <v>1.56</v>
      </c>
      <c r="J1288" s="37">
        <v>1120.08</v>
      </c>
      <c r="K1288" s="35">
        <v>44</v>
      </c>
      <c r="L1288" s="37">
        <v>25.46</v>
      </c>
      <c r="M1288" s="37">
        <v>11863.61</v>
      </c>
      <c r="N1288" s="38">
        <v>10.59</v>
      </c>
    </row>
    <row r="1289" spans="1:14" x14ac:dyDescent="0.3">
      <c r="A1289" s="33">
        <v>45604</v>
      </c>
      <c r="B1289" s="34" t="s">
        <v>60</v>
      </c>
      <c r="C1289" s="34" t="s">
        <v>75</v>
      </c>
      <c r="D1289" s="34" t="s">
        <v>65</v>
      </c>
      <c r="E1289" s="34" t="s">
        <v>72</v>
      </c>
      <c r="F1289" s="35">
        <v>199164</v>
      </c>
      <c r="G1289" s="35">
        <v>6671</v>
      </c>
      <c r="H1289" s="36">
        <v>3.3500000000000002E-2</v>
      </c>
      <c r="I1289" s="37">
        <v>3.19</v>
      </c>
      <c r="J1289" s="37">
        <v>21280.49</v>
      </c>
      <c r="K1289" s="35">
        <v>118</v>
      </c>
      <c r="L1289" s="37">
        <v>180.34</v>
      </c>
      <c r="M1289" s="37">
        <v>27461.46</v>
      </c>
      <c r="N1289" s="38">
        <v>1.29</v>
      </c>
    </row>
    <row r="1290" spans="1:14" x14ac:dyDescent="0.3">
      <c r="A1290" s="33">
        <v>45556</v>
      </c>
      <c r="B1290" s="34" t="s">
        <v>74</v>
      </c>
      <c r="C1290" s="34" t="s">
        <v>70</v>
      </c>
      <c r="D1290" s="34" t="s">
        <v>76</v>
      </c>
      <c r="E1290" s="34" t="s">
        <v>73</v>
      </c>
      <c r="F1290" s="35">
        <v>138018</v>
      </c>
      <c r="G1290" s="35">
        <v>1683</v>
      </c>
      <c r="H1290" s="36">
        <v>1.2200000000000001E-2</v>
      </c>
      <c r="I1290" s="37">
        <v>1.03</v>
      </c>
      <c r="J1290" s="37">
        <v>1733.49</v>
      </c>
      <c r="K1290" s="35">
        <v>56</v>
      </c>
      <c r="L1290" s="37">
        <v>30.96</v>
      </c>
      <c r="M1290" s="37">
        <v>8635.5</v>
      </c>
      <c r="N1290" s="38">
        <v>4.9800000000000004</v>
      </c>
    </row>
    <row r="1291" spans="1:14" x14ac:dyDescent="0.3">
      <c r="A1291" s="33">
        <v>45354</v>
      </c>
      <c r="B1291" s="34" t="s">
        <v>74</v>
      </c>
      <c r="C1291" s="34" t="s">
        <v>70</v>
      </c>
      <c r="D1291" s="34" t="s">
        <v>62</v>
      </c>
      <c r="E1291" s="34" t="s">
        <v>63</v>
      </c>
      <c r="F1291" s="35">
        <v>161408</v>
      </c>
      <c r="G1291" s="35">
        <v>1581</v>
      </c>
      <c r="H1291" s="36">
        <v>9.7999999999999997E-3</v>
      </c>
      <c r="I1291" s="37">
        <v>1.1100000000000001</v>
      </c>
      <c r="J1291" s="37">
        <v>1754.91</v>
      </c>
      <c r="K1291" s="35">
        <v>51</v>
      </c>
      <c r="L1291" s="37">
        <v>34.409999999999997</v>
      </c>
      <c r="M1291" s="37">
        <v>6128.54</v>
      </c>
      <c r="N1291" s="38">
        <v>3.49</v>
      </c>
    </row>
    <row r="1292" spans="1:14" x14ac:dyDescent="0.3">
      <c r="A1292" s="33">
        <v>45594</v>
      </c>
      <c r="B1292" s="34" t="s">
        <v>64</v>
      </c>
      <c r="C1292" s="34" t="s">
        <v>70</v>
      </c>
      <c r="D1292" s="34" t="s">
        <v>76</v>
      </c>
      <c r="E1292" s="34" t="s">
        <v>72</v>
      </c>
      <c r="F1292" s="35">
        <v>130811</v>
      </c>
      <c r="G1292" s="35">
        <v>8895</v>
      </c>
      <c r="H1292" s="36">
        <v>6.8000000000000005E-2</v>
      </c>
      <c r="I1292" s="37">
        <v>0.32</v>
      </c>
      <c r="J1292" s="37">
        <v>2846.4</v>
      </c>
      <c r="K1292" s="35">
        <v>150</v>
      </c>
      <c r="L1292" s="37">
        <v>18.98</v>
      </c>
      <c r="M1292" s="37">
        <v>31192.02</v>
      </c>
      <c r="N1292" s="38">
        <v>10.96</v>
      </c>
    </row>
    <row r="1293" spans="1:14" x14ac:dyDescent="0.3">
      <c r="A1293" s="33">
        <v>45470</v>
      </c>
      <c r="B1293" s="34" t="s">
        <v>74</v>
      </c>
      <c r="C1293" s="34" t="s">
        <v>75</v>
      </c>
      <c r="D1293" s="34" t="s">
        <v>65</v>
      </c>
      <c r="E1293" s="34" t="s">
        <v>63</v>
      </c>
      <c r="F1293" s="35">
        <v>140460</v>
      </c>
      <c r="G1293" s="35">
        <v>2753</v>
      </c>
      <c r="H1293" s="36">
        <v>1.9599999999999999E-2</v>
      </c>
      <c r="I1293" s="37">
        <v>0.51</v>
      </c>
      <c r="J1293" s="37">
        <v>1404.03</v>
      </c>
      <c r="K1293" s="35">
        <v>87</v>
      </c>
      <c r="L1293" s="37">
        <v>16.14</v>
      </c>
      <c r="M1293" s="37">
        <v>18763.62</v>
      </c>
      <c r="N1293" s="38">
        <v>13.36</v>
      </c>
    </row>
    <row r="1294" spans="1:14" x14ac:dyDescent="0.3">
      <c r="A1294" s="33">
        <v>45372</v>
      </c>
      <c r="B1294" s="34" t="s">
        <v>74</v>
      </c>
      <c r="C1294" s="34" t="s">
        <v>70</v>
      </c>
      <c r="D1294" s="34" t="s">
        <v>65</v>
      </c>
      <c r="E1294" s="34" t="s">
        <v>73</v>
      </c>
      <c r="F1294" s="35">
        <v>119731</v>
      </c>
      <c r="G1294" s="35">
        <v>2969</v>
      </c>
      <c r="H1294" s="36">
        <v>2.4799999999999999E-2</v>
      </c>
      <c r="I1294" s="37">
        <v>0.56000000000000005</v>
      </c>
      <c r="J1294" s="37">
        <v>1662.64</v>
      </c>
      <c r="K1294" s="35">
        <v>47</v>
      </c>
      <c r="L1294" s="37">
        <v>35.380000000000003</v>
      </c>
      <c r="M1294" s="37">
        <v>11619.48</v>
      </c>
      <c r="N1294" s="38">
        <v>6.99</v>
      </c>
    </row>
    <row r="1295" spans="1:14" x14ac:dyDescent="0.3">
      <c r="A1295" s="33">
        <v>45577</v>
      </c>
      <c r="B1295" s="34" t="s">
        <v>74</v>
      </c>
      <c r="C1295" s="34" t="s">
        <v>61</v>
      </c>
      <c r="D1295" s="34" t="s">
        <v>76</v>
      </c>
      <c r="E1295" s="34" t="s">
        <v>69</v>
      </c>
      <c r="F1295" s="35">
        <v>61437</v>
      </c>
      <c r="G1295" s="35">
        <v>1087</v>
      </c>
      <c r="H1295" s="36">
        <v>1.77E-2</v>
      </c>
      <c r="I1295" s="37">
        <v>2.23</v>
      </c>
      <c r="J1295" s="37">
        <v>2424.0100000000002</v>
      </c>
      <c r="K1295" s="35">
        <v>80</v>
      </c>
      <c r="L1295" s="37">
        <v>30.3</v>
      </c>
      <c r="M1295" s="37">
        <v>11780.01</v>
      </c>
      <c r="N1295" s="38">
        <v>4.8600000000000003</v>
      </c>
    </row>
    <row r="1296" spans="1:14" x14ac:dyDescent="0.3">
      <c r="A1296" s="33">
        <v>45533</v>
      </c>
      <c r="B1296" s="34" t="s">
        <v>60</v>
      </c>
      <c r="C1296" s="34" t="s">
        <v>61</v>
      </c>
      <c r="D1296" s="34" t="s">
        <v>76</v>
      </c>
      <c r="E1296" s="34" t="s">
        <v>63</v>
      </c>
      <c r="F1296" s="35">
        <v>37827</v>
      </c>
      <c r="G1296" s="35">
        <v>2072</v>
      </c>
      <c r="H1296" s="36">
        <v>5.4800000000000001E-2</v>
      </c>
      <c r="I1296" s="37">
        <v>0.81</v>
      </c>
      <c r="J1296" s="37">
        <v>1678.32</v>
      </c>
      <c r="K1296" s="35">
        <v>133</v>
      </c>
      <c r="L1296" s="37">
        <v>12.62</v>
      </c>
      <c r="M1296" s="37">
        <v>19268.21</v>
      </c>
      <c r="N1296" s="38">
        <v>11.48</v>
      </c>
    </row>
    <row r="1297" spans="1:14" x14ac:dyDescent="0.3">
      <c r="A1297" s="33">
        <v>45467</v>
      </c>
      <c r="B1297" s="34" t="s">
        <v>60</v>
      </c>
      <c r="C1297" s="34" t="s">
        <v>75</v>
      </c>
      <c r="D1297" s="34" t="s">
        <v>71</v>
      </c>
      <c r="E1297" s="34" t="s">
        <v>72</v>
      </c>
      <c r="F1297" s="35">
        <v>180848</v>
      </c>
      <c r="G1297" s="35">
        <v>5515</v>
      </c>
      <c r="H1297" s="36">
        <v>3.0499999999999999E-2</v>
      </c>
      <c r="I1297" s="37">
        <v>3.32</v>
      </c>
      <c r="J1297" s="37">
        <v>18309.8</v>
      </c>
      <c r="K1297" s="35">
        <v>362</v>
      </c>
      <c r="L1297" s="37">
        <v>50.58</v>
      </c>
      <c r="M1297" s="37">
        <v>84316.14</v>
      </c>
      <c r="N1297" s="38">
        <v>4.5999999999999996</v>
      </c>
    </row>
    <row r="1298" spans="1:14" x14ac:dyDescent="0.3">
      <c r="A1298" s="33">
        <v>45341</v>
      </c>
      <c r="B1298" s="34" t="s">
        <v>60</v>
      </c>
      <c r="C1298" s="34" t="s">
        <v>67</v>
      </c>
      <c r="D1298" s="34" t="s">
        <v>62</v>
      </c>
      <c r="E1298" s="34" t="s">
        <v>63</v>
      </c>
      <c r="F1298" s="35">
        <v>30545</v>
      </c>
      <c r="G1298" s="35">
        <v>1728</v>
      </c>
      <c r="H1298" s="36">
        <v>5.6599999999999998E-2</v>
      </c>
      <c r="I1298" s="37">
        <v>1.73</v>
      </c>
      <c r="J1298" s="37">
        <v>2989.44</v>
      </c>
      <c r="K1298" s="35">
        <v>51</v>
      </c>
      <c r="L1298" s="37">
        <v>58.62</v>
      </c>
      <c r="M1298" s="37">
        <v>3408.09</v>
      </c>
      <c r="N1298" s="38">
        <v>1.1399999999999999</v>
      </c>
    </row>
    <row r="1299" spans="1:14" x14ac:dyDescent="0.3">
      <c r="A1299" s="33">
        <v>45499</v>
      </c>
      <c r="B1299" s="34" t="s">
        <v>64</v>
      </c>
      <c r="C1299" s="34" t="s">
        <v>70</v>
      </c>
      <c r="D1299" s="34" t="s">
        <v>62</v>
      </c>
      <c r="E1299" s="34" t="s">
        <v>63</v>
      </c>
      <c r="F1299" s="35">
        <v>21643</v>
      </c>
      <c r="G1299" s="35">
        <v>1142</v>
      </c>
      <c r="H1299" s="36">
        <v>5.28E-2</v>
      </c>
      <c r="I1299" s="37">
        <v>1.03</v>
      </c>
      <c r="J1299" s="37">
        <v>1176.26</v>
      </c>
      <c r="K1299" s="35">
        <v>81</v>
      </c>
      <c r="L1299" s="37">
        <v>14.52</v>
      </c>
      <c r="M1299" s="37">
        <v>18823.45</v>
      </c>
      <c r="N1299" s="38">
        <v>16</v>
      </c>
    </row>
    <row r="1300" spans="1:14" x14ac:dyDescent="0.3">
      <c r="A1300" s="33">
        <v>45328</v>
      </c>
      <c r="B1300" s="34" t="s">
        <v>74</v>
      </c>
      <c r="C1300" s="34" t="s">
        <v>75</v>
      </c>
      <c r="D1300" s="34" t="s">
        <v>68</v>
      </c>
      <c r="E1300" s="34" t="s">
        <v>66</v>
      </c>
      <c r="F1300" s="35">
        <v>58164</v>
      </c>
      <c r="G1300" s="35">
        <v>936</v>
      </c>
      <c r="H1300" s="36">
        <v>1.61E-2</v>
      </c>
      <c r="I1300" s="37">
        <v>0.88</v>
      </c>
      <c r="J1300" s="37">
        <v>823.68</v>
      </c>
      <c r="K1300" s="35">
        <v>13</v>
      </c>
      <c r="L1300" s="37">
        <v>63.36</v>
      </c>
      <c r="M1300" s="37">
        <v>1791.65</v>
      </c>
      <c r="N1300" s="38">
        <v>2.1800000000000002</v>
      </c>
    </row>
    <row r="1301" spans="1:14" x14ac:dyDescent="0.3">
      <c r="A1301" s="33">
        <v>45391</v>
      </c>
      <c r="B1301" s="34" t="s">
        <v>74</v>
      </c>
      <c r="C1301" s="34" t="s">
        <v>70</v>
      </c>
      <c r="D1301" s="34" t="s">
        <v>62</v>
      </c>
      <c r="E1301" s="34" t="s">
        <v>63</v>
      </c>
      <c r="F1301" s="35">
        <v>69102</v>
      </c>
      <c r="G1301" s="35">
        <v>1354</v>
      </c>
      <c r="H1301" s="36">
        <v>1.9599999999999999E-2</v>
      </c>
      <c r="I1301" s="37">
        <v>1.61</v>
      </c>
      <c r="J1301" s="37">
        <v>2179.94</v>
      </c>
      <c r="K1301" s="35">
        <v>89</v>
      </c>
      <c r="L1301" s="37">
        <v>24.49</v>
      </c>
      <c r="M1301" s="37">
        <v>14410.72</v>
      </c>
      <c r="N1301" s="38">
        <v>6.61</v>
      </c>
    </row>
    <row r="1302" spans="1:14" x14ac:dyDescent="0.3">
      <c r="A1302" s="33">
        <v>45505</v>
      </c>
      <c r="B1302" s="34" t="s">
        <v>64</v>
      </c>
      <c r="C1302" s="34" t="s">
        <v>70</v>
      </c>
      <c r="D1302" s="34" t="s">
        <v>62</v>
      </c>
      <c r="E1302" s="34" t="s">
        <v>66</v>
      </c>
      <c r="F1302" s="35">
        <v>164852</v>
      </c>
      <c r="G1302" s="35">
        <v>6445</v>
      </c>
      <c r="H1302" s="36">
        <v>3.9100000000000003E-2</v>
      </c>
      <c r="I1302" s="37">
        <v>1.64</v>
      </c>
      <c r="J1302" s="37">
        <v>10569.8</v>
      </c>
      <c r="K1302" s="35">
        <v>471</v>
      </c>
      <c r="L1302" s="37">
        <v>22.44</v>
      </c>
      <c r="M1302" s="37">
        <v>43233.91</v>
      </c>
      <c r="N1302" s="38">
        <v>4.09</v>
      </c>
    </row>
    <row r="1303" spans="1:14" x14ac:dyDescent="0.3">
      <c r="A1303" s="33">
        <v>45589</v>
      </c>
      <c r="B1303" s="34" t="s">
        <v>60</v>
      </c>
      <c r="C1303" s="34" t="s">
        <v>70</v>
      </c>
      <c r="D1303" s="34" t="s">
        <v>62</v>
      </c>
      <c r="E1303" s="34" t="s">
        <v>77</v>
      </c>
      <c r="F1303" s="35">
        <v>149064</v>
      </c>
      <c r="G1303" s="35">
        <v>5724</v>
      </c>
      <c r="H1303" s="36">
        <v>3.8399999999999997E-2</v>
      </c>
      <c r="I1303" s="37">
        <v>1.32</v>
      </c>
      <c r="J1303" s="37">
        <v>7555.68</v>
      </c>
      <c r="K1303" s="35">
        <v>369</v>
      </c>
      <c r="L1303" s="37">
        <v>20.48</v>
      </c>
      <c r="M1303" s="37">
        <v>107029.4</v>
      </c>
      <c r="N1303" s="38">
        <v>14.17</v>
      </c>
    </row>
    <row r="1304" spans="1:14" x14ac:dyDescent="0.3">
      <c r="A1304" s="33">
        <v>45479</v>
      </c>
      <c r="B1304" s="34" t="s">
        <v>74</v>
      </c>
      <c r="C1304" s="34" t="s">
        <v>70</v>
      </c>
      <c r="D1304" s="34" t="s">
        <v>76</v>
      </c>
      <c r="E1304" s="34" t="s">
        <v>66</v>
      </c>
      <c r="F1304" s="35">
        <v>80888</v>
      </c>
      <c r="G1304" s="35">
        <v>2070</v>
      </c>
      <c r="H1304" s="36">
        <v>2.5600000000000001E-2</v>
      </c>
      <c r="I1304" s="37">
        <v>0.74</v>
      </c>
      <c r="J1304" s="37">
        <v>1531.8</v>
      </c>
      <c r="K1304" s="35">
        <v>71</v>
      </c>
      <c r="L1304" s="37">
        <v>21.57</v>
      </c>
      <c r="M1304" s="37">
        <v>19601.22</v>
      </c>
      <c r="N1304" s="38">
        <v>12.8</v>
      </c>
    </row>
    <row r="1305" spans="1:14" x14ac:dyDescent="0.3">
      <c r="A1305" s="33">
        <v>45642</v>
      </c>
      <c r="B1305" s="34" t="s">
        <v>74</v>
      </c>
      <c r="C1305" s="34" t="s">
        <v>75</v>
      </c>
      <c r="D1305" s="34" t="s">
        <v>71</v>
      </c>
      <c r="E1305" s="34" t="s">
        <v>69</v>
      </c>
      <c r="F1305" s="35">
        <v>21471</v>
      </c>
      <c r="G1305" s="35">
        <v>753</v>
      </c>
      <c r="H1305" s="36">
        <v>3.5099999999999999E-2</v>
      </c>
      <c r="I1305" s="37">
        <v>1.79</v>
      </c>
      <c r="J1305" s="37">
        <v>1347.87</v>
      </c>
      <c r="K1305" s="35">
        <v>28</v>
      </c>
      <c r="L1305" s="37">
        <v>48.14</v>
      </c>
      <c r="M1305" s="37">
        <v>7559</v>
      </c>
      <c r="N1305" s="38">
        <v>5.61</v>
      </c>
    </row>
    <row r="1306" spans="1:14" x14ac:dyDescent="0.3">
      <c r="A1306" s="33">
        <v>45417</v>
      </c>
      <c r="B1306" s="34" t="s">
        <v>74</v>
      </c>
      <c r="C1306" s="34" t="s">
        <v>70</v>
      </c>
      <c r="D1306" s="34" t="s">
        <v>68</v>
      </c>
      <c r="E1306" s="34" t="s">
        <v>77</v>
      </c>
      <c r="F1306" s="35">
        <v>160182</v>
      </c>
      <c r="G1306" s="35">
        <v>4901</v>
      </c>
      <c r="H1306" s="36">
        <v>3.0599999999999999E-2</v>
      </c>
      <c r="I1306" s="37">
        <v>1.02</v>
      </c>
      <c r="J1306" s="37">
        <v>4999.0200000000004</v>
      </c>
      <c r="K1306" s="35">
        <v>88</v>
      </c>
      <c r="L1306" s="37">
        <v>56.81</v>
      </c>
      <c r="M1306" s="37">
        <v>22338.67</v>
      </c>
      <c r="N1306" s="38">
        <v>4.47</v>
      </c>
    </row>
    <row r="1307" spans="1:14" x14ac:dyDescent="0.3">
      <c r="A1307" s="33">
        <v>45383</v>
      </c>
      <c r="B1307" s="34" t="s">
        <v>64</v>
      </c>
      <c r="C1307" s="34" t="s">
        <v>75</v>
      </c>
      <c r="D1307" s="34" t="s">
        <v>65</v>
      </c>
      <c r="E1307" s="34" t="s">
        <v>73</v>
      </c>
      <c r="F1307" s="35">
        <v>30226</v>
      </c>
      <c r="G1307" s="35">
        <v>1196</v>
      </c>
      <c r="H1307" s="36">
        <v>3.9600000000000003E-2</v>
      </c>
      <c r="I1307" s="37">
        <v>1.46</v>
      </c>
      <c r="J1307" s="37">
        <v>1746.16</v>
      </c>
      <c r="K1307" s="35">
        <v>12</v>
      </c>
      <c r="L1307" s="37">
        <v>145.51</v>
      </c>
      <c r="M1307" s="37">
        <v>2625.21</v>
      </c>
      <c r="N1307" s="38">
        <v>1.5</v>
      </c>
    </row>
    <row r="1308" spans="1:14" x14ac:dyDescent="0.3">
      <c r="A1308" s="33">
        <v>45485</v>
      </c>
      <c r="B1308" s="34" t="s">
        <v>60</v>
      </c>
      <c r="C1308" s="34" t="s">
        <v>61</v>
      </c>
      <c r="D1308" s="34" t="s">
        <v>71</v>
      </c>
      <c r="E1308" s="34" t="s">
        <v>78</v>
      </c>
      <c r="F1308" s="35">
        <v>146677</v>
      </c>
      <c r="G1308" s="35">
        <v>7597</v>
      </c>
      <c r="H1308" s="36">
        <v>5.1799999999999999E-2</v>
      </c>
      <c r="I1308" s="37">
        <v>1.42</v>
      </c>
      <c r="J1308" s="37">
        <v>10787.74</v>
      </c>
      <c r="K1308" s="35">
        <v>186</v>
      </c>
      <c r="L1308" s="37">
        <v>58</v>
      </c>
      <c r="M1308" s="37">
        <v>35941.14</v>
      </c>
      <c r="N1308" s="38">
        <v>3.33</v>
      </c>
    </row>
    <row r="1309" spans="1:14" x14ac:dyDescent="0.3">
      <c r="A1309" s="33">
        <v>45467</v>
      </c>
      <c r="B1309" s="34" t="s">
        <v>74</v>
      </c>
      <c r="C1309" s="34" t="s">
        <v>70</v>
      </c>
      <c r="D1309" s="34" t="s">
        <v>68</v>
      </c>
      <c r="E1309" s="34" t="s">
        <v>63</v>
      </c>
      <c r="F1309" s="35">
        <v>74859</v>
      </c>
      <c r="G1309" s="35">
        <v>1661</v>
      </c>
      <c r="H1309" s="36">
        <v>2.2200000000000001E-2</v>
      </c>
      <c r="I1309" s="37">
        <v>1.35</v>
      </c>
      <c r="J1309" s="37">
        <v>2242.35</v>
      </c>
      <c r="K1309" s="35">
        <v>101</v>
      </c>
      <c r="L1309" s="37">
        <v>22.2</v>
      </c>
      <c r="M1309" s="37">
        <v>6046.11</v>
      </c>
      <c r="N1309" s="38">
        <v>2.7</v>
      </c>
    </row>
    <row r="1310" spans="1:14" x14ac:dyDescent="0.3">
      <c r="A1310" s="33">
        <v>45414</v>
      </c>
      <c r="B1310" s="34" t="s">
        <v>60</v>
      </c>
      <c r="C1310" s="34" t="s">
        <v>75</v>
      </c>
      <c r="D1310" s="34" t="s">
        <v>71</v>
      </c>
      <c r="E1310" s="34" t="s">
        <v>78</v>
      </c>
      <c r="F1310" s="35">
        <v>127232</v>
      </c>
      <c r="G1310" s="35">
        <v>3867</v>
      </c>
      <c r="H1310" s="36">
        <v>3.04E-2</v>
      </c>
      <c r="I1310" s="37">
        <v>2.95</v>
      </c>
      <c r="J1310" s="37">
        <v>11407.65</v>
      </c>
      <c r="K1310" s="35">
        <v>177</v>
      </c>
      <c r="L1310" s="37">
        <v>64.45</v>
      </c>
      <c r="M1310" s="37">
        <v>6676.28</v>
      </c>
      <c r="N1310" s="38">
        <v>0.59</v>
      </c>
    </row>
    <row r="1311" spans="1:14" x14ac:dyDescent="0.3">
      <c r="A1311" s="33">
        <v>45647</v>
      </c>
      <c r="B1311" s="34" t="s">
        <v>60</v>
      </c>
      <c r="C1311" s="34" t="s">
        <v>67</v>
      </c>
      <c r="D1311" s="34" t="s">
        <v>71</v>
      </c>
      <c r="E1311" s="34" t="s">
        <v>66</v>
      </c>
      <c r="F1311" s="35">
        <v>83243</v>
      </c>
      <c r="G1311" s="35">
        <v>2821</v>
      </c>
      <c r="H1311" s="36">
        <v>3.39E-2</v>
      </c>
      <c r="I1311" s="37">
        <v>3.03</v>
      </c>
      <c r="J1311" s="37">
        <v>8547.6299999999992</v>
      </c>
      <c r="K1311" s="35">
        <v>181</v>
      </c>
      <c r="L1311" s="37">
        <v>47.22</v>
      </c>
      <c r="M1311" s="37">
        <v>43894.09</v>
      </c>
      <c r="N1311" s="38">
        <v>5.14</v>
      </c>
    </row>
    <row r="1312" spans="1:14" x14ac:dyDescent="0.3">
      <c r="A1312" s="33">
        <v>45432</v>
      </c>
      <c r="B1312" s="34" t="s">
        <v>74</v>
      </c>
      <c r="C1312" s="34" t="s">
        <v>70</v>
      </c>
      <c r="D1312" s="34" t="s">
        <v>65</v>
      </c>
      <c r="E1312" s="34" t="s">
        <v>63</v>
      </c>
      <c r="F1312" s="35">
        <v>85846</v>
      </c>
      <c r="G1312" s="35">
        <v>2274</v>
      </c>
      <c r="H1312" s="36">
        <v>2.6499999999999999E-2</v>
      </c>
      <c r="I1312" s="37">
        <v>0.43</v>
      </c>
      <c r="J1312" s="37">
        <v>977.82</v>
      </c>
      <c r="K1312" s="35">
        <v>113</v>
      </c>
      <c r="L1312" s="37">
        <v>8.65</v>
      </c>
      <c r="M1312" s="37">
        <v>8382.57</v>
      </c>
      <c r="N1312" s="38">
        <v>8.57</v>
      </c>
    </row>
    <row r="1313" spans="1:14" x14ac:dyDescent="0.3">
      <c r="A1313" s="33">
        <v>45325</v>
      </c>
      <c r="B1313" s="34" t="s">
        <v>64</v>
      </c>
      <c r="C1313" s="34" t="s">
        <v>75</v>
      </c>
      <c r="D1313" s="34" t="s">
        <v>68</v>
      </c>
      <c r="E1313" s="34" t="s">
        <v>69</v>
      </c>
      <c r="F1313" s="35">
        <v>150227</v>
      </c>
      <c r="G1313" s="35">
        <v>8683</v>
      </c>
      <c r="H1313" s="36">
        <v>5.7799999999999997E-2</v>
      </c>
      <c r="I1313" s="37">
        <v>1.7</v>
      </c>
      <c r="J1313" s="37">
        <v>14761.1</v>
      </c>
      <c r="K1313" s="35">
        <v>315</v>
      </c>
      <c r="L1313" s="37">
        <v>46.86</v>
      </c>
      <c r="M1313" s="37">
        <v>86296.01</v>
      </c>
      <c r="N1313" s="38">
        <v>5.85</v>
      </c>
    </row>
    <row r="1314" spans="1:14" x14ac:dyDescent="0.3">
      <c r="A1314" s="33">
        <v>45503</v>
      </c>
      <c r="B1314" s="34" t="s">
        <v>60</v>
      </c>
      <c r="C1314" s="34" t="s">
        <v>75</v>
      </c>
      <c r="D1314" s="34" t="s">
        <v>68</v>
      </c>
      <c r="E1314" s="34" t="s">
        <v>73</v>
      </c>
      <c r="F1314" s="35">
        <v>50411</v>
      </c>
      <c r="G1314" s="35">
        <v>1320</v>
      </c>
      <c r="H1314" s="36">
        <v>2.6200000000000001E-2</v>
      </c>
      <c r="I1314" s="37">
        <v>2.68</v>
      </c>
      <c r="J1314" s="37">
        <v>3537.6</v>
      </c>
      <c r="K1314" s="35">
        <v>49</v>
      </c>
      <c r="L1314" s="37">
        <v>72.2</v>
      </c>
      <c r="M1314" s="37">
        <v>12873.07</v>
      </c>
      <c r="N1314" s="38">
        <v>3.64</v>
      </c>
    </row>
    <row r="1315" spans="1:14" x14ac:dyDescent="0.3">
      <c r="A1315" s="33">
        <v>45308</v>
      </c>
      <c r="B1315" s="34" t="s">
        <v>60</v>
      </c>
      <c r="C1315" s="34" t="s">
        <v>70</v>
      </c>
      <c r="D1315" s="34" t="s">
        <v>62</v>
      </c>
      <c r="E1315" s="34" t="s">
        <v>66</v>
      </c>
      <c r="F1315" s="35">
        <v>100552</v>
      </c>
      <c r="G1315" s="35">
        <v>3861</v>
      </c>
      <c r="H1315" s="36">
        <v>3.8399999999999997E-2</v>
      </c>
      <c r="I1315" s="37">
        <v>1.91</v>
      </c>
      <c r="J1315" s="37">
        <v>7374.51</v>
      </c>
      <c r="K1315" s="35">
        <v>57</v>
      </c>
      <c r="L1315" s="37">
        <v>129.38</v>
      </c>
      <c r="M1315" s="37">
        <v>14567.86</v>
      </c>
      <c r="N1315" s="38">
        <v>1.98</v>
      </c>
    </row>
    <row r="1316" spans="1:14" x14ac:dyDescent="0.3">
      <c r="A1316" s="33">
        <v>45475</v>
      </c>
      <c r="B1316" s="34" t="s">
        <v>60</v>
      </c>
      <c r="C1316" s="34" t="s">
        <v>75</v>
      </c>
      <c r="D1316" s="34" t="s">
        <v>62</v>
      </c>
      <c r="E1316" s="34" t="s">
        <v>63</v>
      </c>
      <c r="F1316" s="35">
        <v>32428</v>
      </c>
      <c r="G1316" s="35">
        <v>603</v>
      </c>
      <c r="H1316" s="36">
        <v>1.8599999999999998E-2</v>
      </c>
      <c r="I1316" s="37">
        <v>1.61</v>
      </c>
      <c r="J1316" s="37">
        <v>970.83</v>
      </c>
      <c r="K1316" s="35">
        <v>47</v>
      </c>
      <c r="L1316" s="37">
        <v>20.66</v>
      </c>
      <c r="M1316" s="37">
        <v>11645.06</v>
      </c>
      <c r="N1316" s="38">
        <v>11.99</v>
      </c>
    </row>
    <row r="1317" spans="1:14" x14ac:dyDescent="0.3">
      <c r="A1317" s="33">
        <v>45609</v>
      </c>
      <c r="B1317" s="34" t="s">
        <v>60</v>
      </c>
      <c r="C1317" s="34" t="s">
        <v>61</v>
      </c>
      <c r="D1317" s="34" t="s">
        <v>68</v>
      </c>
      <c r="E1317" s="34" t="s">
        <v>69</v>
      </c>
      <c r="F1317" s="35">
        <v>84517</v>
      </c>
      <c r="G1317" s="35">
        <v>1664</v>
      </c>
      <c r="H1317" s="36">
        <v>1.9699999999999999E-2</v>
      </c>
      <c r="I1317" s="37">
        <v>2.4</v>
      </c>
      <c r="J1317" s="37">
        <v>3993.6</v>
      </c>
      <c r="K1317" s="35">
        <v>91</v>
      </c>
      <c r="L1317" s="37">
        <v>43.89</v>
      </c>
      <c r="M1317" s="37">
        <v>21828</v>
      </c>
      <c r="N1317" s="38">
        <v>5.47</v>
      </c>
    </row>
    <row r="1318" spans="1:14" x14ac:dyDescent="0.3">
      <c r="A1318" s="33">
        <v>45372</v>
      </c>
      <c r="B1318" s="34" t="s">
        <v>74</v>
      </c>
      <c r="C1318" s="34" t="s">
        <v>70</v>
      </c>
      <c r="D1318" s="34" t="s">
        <v>65</v>
      </c>
      <c r="E1318" s="34" t="s">
        <v>72</v>
      </c>
      <c r="F1318" s="35">
        <v>160091</v>
      </c>
      <c r="G1318" s="35">
        <v>4210</v>
      </c>
      <c r="H1318" s="36">
        <v>2.63E-2</v>
      </c>
      <c r="I1318" s="37">
        <v>1.07</v>
      </c>
      <c r="J1318" s="37">
        <v>4504.7</v>
      </c>
      <c r="K1318" s="35">
        <v>322</v>
      </c>
      <c r="L1318" s="37">
        <v>13.99</v>
      </c>
      <c r="M1318" s="37">
        <v>62914.38</v>
      </c>
      <c r="N1318" s="38">
        <v>13.97</v>
      </c>
    </row>
    <row r="1319" spans="1:14" x14ac:dyDescent="0.3">
      <c r="A1319" s="33">
        <v>45466</v>
      </c>
      <c r="B1319" s="34" t="s">
        <v>60</v>
      </c>
      <c r="C1319" s="34" t="s">
        <v>61</v>
      </c>
      <c r="D1319" s="34" t="s">
        <v>65</v>
      </c>
      <c r="E1319" s="34" t="s">
        <v>66</v>
      </c>
      <c r="F1319" s="35">
        <v>158778</v>
      </c>
      <c r="G1319" s="35">
        <v>7256</v>
      </c>
      <c r="H1319" s="36">
        <v>4.5699999999999998E-2</v>
      </c>
      <c r="I1319" s="37">
        <v>1.5</v>
      </c>
      <c r="J1319" s="37">
        <v>10884</v>
      </c>
      <c r="K1319" s="35">
        <v>431</v>
      </c>
      <c r="L1319" s="37">
        <v>25.25</v>
      </c>
      <c r="M1319" s="37">
        <v>17905.23</v>
      </c>
      <c r="N1319" s="38">
        <v>1.65</v>
      </c>
    </row>
    <row r="1320" spans="1:14" x14ac:dyDescent="0.3">
      <c r="A1320" s="33">
        <v>45398</v>
      </c>
      <c r="B1320" s="34" t="s">
        <v>60</v>
      </c>
      <c r="C1320" s="34" t="s">
        <v>61</v>
      </c>
      <c r="D1320" s="34" t="s">
        <v>68</v>
      </c>
      <c r="E1320" s="34" t="s">
        <v>72</v>
      </c>
      <c r="F1320" s="35">
        <v>145284</v>
      </c>
      <c r="G1320" s="35">
        <v>8121</v>
      </c>
      <c r="H1320" s="36">
        <v>5.5899999999999998E-2</v>
      </c>
      <c r="I1320" s="37">
        <v>2.66</v>
      </c>
      <c r="J1320" s="37">
        <v>21601.86</v>
      </c>
      <c r="K1320" s="35">
        <v>503</v>
      </c>
      <c r="L1320" s="37">
        <v>42.95</v>
      </c>
      <c r="M1320" s="37">
        <v>135453.16</v>
      </c>
      <c r="N1320" s="38">
        <v>6.27</v>
      </c>
    </row>
    <row r="1321" spans="1:14" x14ac:dyDescent="0.3">
      <c r="A1321" s="33">
        <v>45326</v>
      </c>
      <c r="B1321" s="34" t="s">
        <v>74</v>
      </c>
      <c r="C1321" s="34" t="s">
        <v>70</v>
      </c>
      <c r="D1321" s="34" t="s">
        <v>76</v>
      </c>
      <c r="E1321" s="34" t="s">
        <v>72</v>
      </c>
      <c r="F1321" s="35">
        <v>82665</v>
      </c>
      <c r="G1321" s="35">
        <v>2521</v>
      </c>
      <c r="H1321" s="36">
        <v>3.0499999999999999E-2</v>
      </c>
      <c r="I1321" s="37">
        <v>0.64</v>
      </c>
      <c r="J1321" s="37">
        <v>1613.44</v>
      </c>
      <c r="K1321" s="35">
        <v>182</v>
      </c>
      <c r="L1321" s="37">
        <v>8.8699999999999992</v>
      </c>
      <c r="M1321" s="37">
        <v>48413.75</v>
      </c>
      <c r="N1321" s="38">
        <v>30.01</v>
      </c>
    </row>
    <row r="1322" spans="1:14" x14ac:dyDescent="0.3">
      <c r="A1322" s="33">
        <v>45494</v>
      </c>
      <c r="B1322" s="34" t="s">
        <v>64</v>
      </c>
      <c r="C1322" s="34" t="s">
        <v>70</v>
      </c>
      <c r="D1322" s="34" t="s">
        <v>62</v>
      </c>
      <c r="E1322" s="34" t="s">
        <v>66</v>
      </c>
      <c r="F1322" s="35">
        <v>157973</v>
      </c>
      <c r="G1322" s="35">
        <v>12227</v>
      </c>
      <c r="H1322" s="36">
        <v>7.7399999999999997E-2</v>
      </c>
      <c r="I1322" s="37">
        <v>0.53</v>
      </c>
      <c r="J1322" s="37">
        <v>6480.31</v>
      </c>
      <c r="K1322" s="35">
        <v>540</v>
      </c>
      <c r="L1322" s="37">
        <v>12</v>
      </c>
      <c r="M1322" s="37">
        <v>99930.16</v>
      </c>
      <c r="N1322" s="38">
        <v>15.42</v>
      </c>
    </row>
    <row r="1323" spans="1:14" x14ac:dyDescent="0.3">
      <c r="A1323" s="33">
        <v>45391</v>
      </c>
      <c r="B1323" s="34" t="s">
        <v>64</v>
      </c>
      <c r="C1323" s="34" t="s">
        <v>75</v>
      </c>
      <c r="D1323" s="34" t="s">
        <v>62</v>
      </c>
      <c r="E1323" s="34" t="s">
        <v>77</v>
      </c>
      <c r="F1323" s="35">
        <v>48898</v>
      </c>
      <c r="G1323" s="35">
        <v>3193</v>
      </c>
      <c r="H1323" s="36">
        <v>6.5299999999999997E-2</v>
      </c>
      <c r="I1323" s="37">
        <v>0.89</v>
      </c>
      <c r="J1323" s="37">
        <v>2841.77</v>
      </c>
      <c r="K1323" s="35">
        <v>179</v>
      </c>
      <c r="L1323" s="37">
        <v>15.88</v>
      </c>
      <c r="M1323" s="37">
        <v>27594.33</v>
      </c>
      <c r="N1323" s="38">
        <v>9.7100000000000009</v>
      </c>
    </row>
    <row r="1324" spans="1:14" x14ac:dyDescent="0.3">
      <c r="A1324" s="33">
        <v>45359</v>
      </c>
      <c r="B1324" s="34" t="s">
        <v>60</v>
      </c>
      <c r="C1324" s="34" t="s">
        <v>61</v>
      </c>
      <c r="D1324" s="34" t="s">
        <v>71</v>
      </c>
      <c r="E1324" s="34" t="s">
        <v>69</v>
      </c>
      <c r="F1324" s="35">
        <v>185923</v>
      </c>
      <c r="G1324" s="35">
        <v>7827</v>
      </c>
      <c r="H1324" s="36">
        <v>4.2099999999999999E-2</v>
      </c>
      <c r="I1324" s="37">
        <v>3.68</v>
      </c>
      <c r="J1324" s="37">
        <v>28803.360000000001</v>
      </c>
      <c r="K1324" s="35">
        <v>215</v>
      </c>
      <c r="L1324" s="37">
        <v>133.97</v>
      </c>
      <c r="M1324" s="37">
        <v>61106.18</v>
      </c>
      <c r="N1324" s="38">
        <v>2.12</v>
      </c>
    </row>
    <row r="1325" spans="1:14" x14ac:dyDescent="0.3">
      <c r="A1325" s="33">
        <v>45524</v>
      </c>
      <c r="B1325" s="34" t="s">
        <v>64</v>
      </c>
      <c r="C1325" s="34" t="s">
        <v>61</v>
      </c>
      <c r="D1325" s="34" t="s">
        <v>68</v>
      </c>
      <c r="E1325" s="34" t="s">
        <v>73</v>
      </c>
      <c r="F1325" s="35">
        <v>89688</v>
      </c>
      <c r="G1325" s="35">
        <v>6583</v>
      </c>
      <c r="H1325" s="36">
        <v>7.3400000000000007E-2</v>
      </c>
      <c r="I1325" s="37">
        <v>0.34</v>
      </c>
      <c r="J1325" s="37">
        <v>2238.2199999999998</v>
      </c>
      <c r="K1325" s="35">
        <v>273</v>
      </c>
      <c r="L1325" s="37">
        <v>8.1999999999999993</v>
      </c>
      <c r="M1325" s="37">
        <v>36559.47</v>
      </c>
      <c r="N1325" s="38">
        <v>16.329999999999998</v>
      </c>
    </row>
    <row r="1326" spans="1:14" x14ac:dyDescent="0.3">
      <c r="A1326" s="33">
        <v>45519</v>
      </c>
      <c r="B1326" s="34" t="s">
        <v>64</v>
      </c>
      <c r="C1326" s="34" t="s">
        <v>61</v>
      </c>
      <c r="D1326" s="34" t="s">
        <v>62</v>
      </c>
      <c r="E1326" s="34" t="s">
        <v>73</v>
      </c>
      <c r="F1326" s="35">
        <v>15273</v>
      </c>
      <c r="G1326" s="35">
        <v>464</v>
      </c>
      <c r="H1326" s="36">
        <v>3.04E-2</v>
      </c>
      <c r="I1326" s="37">
        <v>0.77</v>
      </c>
      <c r="J1326" s="37">
        <v>357.28</v>
      </c>
      <c r="K1326" s="35">
        <v>24</v>
      </c>
      <c r="L1326" s="37">
        <v>14.89</v>
      </c>
      <c r="M1326" s="37">
        <v>871.3</v>
      </c>
      <c r="N1326" s="38">
        <v>2.44</v>
      </c>
    </row>
    <row r="1327" spans="1:14" x14ac:dyDescent="0.3">
      <c r="A1327" s="33">
        <v>45361</v>
      </c>
      <c r="B1327" s="34" t="s">
        <v>60</v>
      </c>
      <c r="C1327" s="34" t="s">
        <v>70</v>
      </c>
      <c r="D1327" s="34" t="s">
        <v>71</v>
      </c>
      <c r="E1327" s="34" t="s">
        <v>78</v>
      </c>
      <c r="F1327" s="35">
        <v>71107</v>
      </c>
      <c r="G1327" s="35">
        <v>2936</v>
      </c>
      <c r="H1327" s="36">
        <v>4.1300000000000003E-2</v>
      </c>
      <c r="I1327" s="37">
        <v>2.67</v>
      </c>
      <c r="J1327" s="37">
        <v>7839.12</v>
      </c>
      <c r="K1327" s="35">
        <v>215</v>
      </c>
      <c r="L1327" s="37">
        <v>36.46</v>
      </c>
      <c r="M1327" s="37">
        <v>26952.54</v>
      </c>
      <c r="N1327" s="38">
        <v>3.44</v>
      </c>
    </row>
    <row r="1328" spans="1:14" x14ac:dyDescent="0.3">
      <c r="A1328" s="33">
        <v>45473</v>
      </c>
      <c r="B1328" s="34" t="s">
        <v>60</v>
      </c>
      <c r="C1328" s="34" t="s">
        <v>70</v>
      </c>
      <c r="D1328" s="34" t="s">
        <v>71</v>
      </c>
      <c r="E1328" s="34" t="s">
        <v>63</v>
      </c>
      <c r="F1328" s="35">
        <v>79681</v>
      </c>
      <c r="G1328" s="35">
        <v>2916</v>
      </c>
      <c r="H1328" s="36">
        <v>3.6600000000000001E-2</v>
      </c>
      <c r="I1328" s="37">
        <v>2.34</v>
      </c>
      <c r="J1328" s="37">
        <v>6823.44</v>
      </c>
      <c r="K1328" s="35">
        <v>184</v>
      </c>
      <c r="L1328" s="37">
        <v>37.08</v>
      </c>
      <c r="M1328" s="37">
        <v>46327.26</v>
      </c>
      <c r="N1328" s="38">
        <v>6.79</v>
      </c>
    </row>
    <row r="1329" spans="1:14" x14ac:dyDescent="0.3">
      <c r="A1329" s="33">
        <v>45370</v>
      </c>
      <c r="B1329" s="34" t="s">
        <v>74</v>
      </c>
      <c r="C1329" s="34" t="s">
        <v>67</v>
      </c>
      <c r="D1329" s="34" t="s">
        <v>68</v>
      </c>
      <c r="E1329" s="34" t="s">
        <v>66</v>
      </c>
      <c r="F1329" s="35">
        <v>102148</v>
      </c>
      <c r="G1329" s="35">
        <v>1205</v>
      </c>
      <c r="H1329" s="36">
        <v>1.18E-2</v>
      </c>
      <c r="I1329" s="37">
        <v>1.31</v>
      </c>
      <c r="J1329" s="37">
        <v>1578.55</v>
      </c>
      <c r="K1329" s="35">
        <v>59</v>
      </c>
      <c r="L1329" s="37">
        <v>26.76</v>
      </c>
      <c r="M1329" s="37">
        <v>17697.95</v>
      </c>
      <c r="N1329" s="38">
        <v>11.21</v>
      </c>
    </row>
    <row r="1330" spans="1:14" x14ac:dyDescent="0.3">
      <c r="A1330" s="33">
        <v>45470</v>
      </c>
      <c r="B1330" s="34" t="s">
        <v>74</v>
      </c>
      <c r="C1330" s="34" t="s">
        <v>61</v>
      </c>
      <c r="D1330" s="34" t="s">
        <v>62</v>
      </c>
      <c r="E1330" s="34" t="s">
        <v>66</v>
      </c>
      <c r="F1330" s="35">
        <v>115540</v>
      </c>
      <c r="G1330" s="35">
        <v>1686</v>
      </c>
      <c r="H1330" s="36">
        <v>1.46E-2</v>
      </c>
      <c r="I1330" s="37">
        <v>1.58</v>
      </c>
      <c r="J1330" s="37">
        <v>2663.88</v>
      </c>
      <c r="K1330" s="35">
        <v>87</v>
      </c>
      <c r="L1330" s="37">
        <v>30.62</v>
      </c>
      <c r="M1330" s="37">
        <v>20354.07</v>
      </c>
      <c r="N1330" s="38">
        <v>7.64</v>
      </c>
    </row>
    <row r="1331" spans="1:14" x14ac:dyDescent="0.3">
      <c r="A1331" s="33">
        <v>45456</v>
      </c>
      <c r="B1331" s="34" t="s">
        <v>60</v>
      </c>
      <c r="C1331" s="34" t="s">
        <v>67</v>
      </c>
      <c r="D1331" s="34" t="s">
        <v>76</v>
      </c>
      <c r="E1331" s="34" t="s">
        <v>63</v>
      </c>
      <c r="F1331" s="35">
        <v>16766</v>
      </c>
      <c r="G1331" s="35">
        <v>846</v>
      </c>
      <c r="H1331" s="36">
        <v>5.0500000000000003E-2</v>
      </c>
      <c r="I1331" s="37">
        <v>2.46</v>
      </c>
      <c r="J1331" s="37">
        <v>2081.16</v>
      </c>
      <c r="K1331" s="35">
        <v>34</v>
      </c>
      <c r="L1331" s="37">
        <v>61.21</v>
      </c>
      <c r="M1331" s="37">
        <v>7254.65</v>
      </c>
      <c r="N1331" s="38">
        <v>3.49</v>
      </c>
    </row>
    <row r="1332" spans="1:14" x14ac:dyDescent="0.3">
      <c r="A1332" s="33">
        <v>45329</v>
      </c>
      <c r="B1332" s="34" t="s">
        <v>60</v>
      </c>
      <c r="C1332" s="34" t="s">
        <v>75</v>
      </c>
      <c r="D1332" s="34" t="s">
        <v>76</v>
      </c>
      <c r="E1332" s="34" t="s">
        <v>72</v>
      </c>
      <c r="F1332" s="35">
        <v>96931</v>
      </c>
      <c r="G1332" s="35">
        <v>5844</v>
      </c>
      <c r="H1332" s="36">
        <v>6.0299999999999999E-2</v>
      </c>
      <c r="I1332" s="37">
        <v>1.1200000000000001</v>
      </c>
      <c r="J1332" s="37">
        <v>6545.28</v>
      </c>
      <c r="K1332" s="35">
        <v>297</v>
      </c>
      <c r="L1332" s="37">
        <v>22.04</v>
      </c>
      <c r="M1332" s="37">
        <v>47765.4</v>
      </c>
      <c r="N1332" s="38">
        <v>7.3</v>
      </c>
    </row>
    <row r="1333" spans="1:14" x14ac:dyDescent="0.3">
      <c r="A1333" s="33">
        <v>45301</v>
      </c>
      <c r="B1333" s="34" t="s">
        <v>74</v>
      </c>
      <c r="C1333" s="34" t="s">
        <v>61</v>
      </c>
      <c r="D1333" s="34" t="s">
        <v>71</v>
      </c>
      <c r="E1333" s="34" t="s">
        <v>66</v>
      </c>
      <c r="F1333" s="35">
        <v>175574</v>
      </c>
      <c r="G1333" s="35">
        <v>6935</v>
      </c>
      <c r="H1333" s="36">
        <v>3.95E-2</v>
      </c>
      <c r="I1333" s="37">
        <v>0.69</v>
      </c>
      <c r="J1333" s="37">
        <v>4785.1499999999996</v>
      </c>
      <c r="K1333" s="35">
        <v>515</v>
      </c>
      <c r="L1333" s="37">
        <v>9.2899999999999991</v>
      </c>
      <c r="M1333" s="37">
        <v>69264.33</v>
      </c>
      <c r="N1333" s="38">
        <v>14.47</v>
      </c>
    </row>
    <row r="1334" spans="1:14" x14ac:dyDescent="0.3">
      <c r="A1334" s="33">
        <v>45634</v>
      </c>
      <c r="B1334" s="34" t="s">
        <v>64</v>
      </c>
      <c r="C1334" s="34" t="s">
        <v>70</v>
      </c>
      <c r="D1334" s="34" t="s">
        <v>65</v>
      </c>
      <c r="E1334" s="34" t="s">
        <v>78</v>
      </c>
      <c r="F1334" s="35">
        <v>175330</v>
      </c>
      <c r="G1334" s="35">
        <v>8766</v>
      </c>
      <c r="H1334" s="36">
        <v>0.05</v>
      </c>
      <c r="I1334" s="37">
        <v>0.73</v>
      </c>
      <c r="J1334" s="37">
        <v>6399.18</v>
      </c>
      <c r="K1334" s="35">
        <v>302</v>
      </c>
      <c r="L1334" s="37">
        <v>21.19</v>
      </c>
      <c r="M1334" s="37">
        <v>35245.68</v>
      </c>
      <c r="N1334" s="38">
        <v>5.51</v>
      </c>
    </row>
    <row r="1335" spans="1:14" x14ac:dyDescent="0.3">
      <c r="A1335" s="33">
        <v>45656</v>
      </c>
      <c r="B1335" s="34" t="s">
        <v>60</v>
      </c>
      <c r="C1335" s="34" t="s">
        <v>70</v>
      </c>
      <c r="D1335" s="34" t="s">
        <v>76</v>
      </c>
      <c r="E1335" s="34" t="s">
        <v>63</v>
      </c>
      <c r="F1335" s="35">
        <v>45225</v>
      </c>
      <c r="G1335" s="35">
        <v>2211</v>
      </c>
      <c r="H1335" s="36">
        <v>4.8899999999999999E-2</v>
      </c>
      <c r="I1335" s="37">
        <v>0.91</v>
      </c>
      <c r="J1335" s="37">
        <v>2012.01</v>
      </c>
      <c r="K1335" s="35">
        <v>156</v>
      </c>
      <c r="L1335" s="37">
        <v>12.9</v>
      </c>
      <c r="M1335" s="37">
        <v>38495.980000000003</v>
      </c>
      <c r="N1335" s="38">
        <v>19.13</v>
      </c>
    </row>
    <row r="1336" spans="1:14" x14ac:dyDescent="0.3">
      <c r="A1336" s="33">
        <v>45539</v>
      </c>
      <c r="B1336" s="34" t="s">
        <v>74</v>
      </c>
      <c r="C1336" s="34" t="s">
        <v>70</v>
      </c>
      <c r="D1336" s="34" t="s">
        <v>62</v>
      </c>
      <c r="E1336" s="34" t="s">
        <v>77</v>
      </c>
      <c r="F1336" s="35">
        <v>79992</v>
      </c>
      <c r="G1336" s="35">
        <v>1055</v>
      </c>
      <c r="H1336" s="36">
        <v>1.32E-2</v>
      </c>
      <c r="I1336" s="37">
        <v>1.52</v>
      </c>
      <c r="J1336" s="37">
        <v>1603.6</v>
      </c>
      <c r="K1336" s="35">
        <v>21</v>
      </c>
      <c r="L1336" s="37">
        <v>76.36</v>
      </c>
      <c r="M1336" s="37">
        <v>4912.79</v>
      </c>
      <c r="N1336" s="38">
        <v>3.06</v>
      </c>
    </row>
    <row r="1337" spans="1:14" x14ac:dyDescent="0.3">
      <c r="A1337" s="33">
        <v>45552</v>
      </c>
      <c r="B1337" s="34" t="s">
        <v>74</v>
      </c>
      <c r="C1337" s="34" t="s">
        <v>75</v>
      </c>
      <c r="D1337" s="34" t="s">
        <v>65</v>
      </c>
      <c r="E1337" s="34" t="s">
        <v>78</v>
      </c>
      <c r="F1337" s="35">
        <v>23113</v>
      </c>
      <c r="G1337" s="35">
        <v>228</v>
      </c>
      <c r="H1337" s="36">
        <v>9.9000000000000008E-3</v>
      </c>
      <c r="I1337" s="37">
        <v>0.6</v>
      </c>
      <c r="J1337" s="37">
        <v>136.80000000000001</v>
      </c>
      <c r="K1337" s="35">
        <v>17</v>
      </c>
      <c r="L1337" s="37">
        <v>8.0500000000000007</v>
      </c>
      <c r="M1337" s="37">
        <v>2097.34</v>
      </c>
      <c r="N1337" s="38">
        <v>15.33</v>
      </c>
    </row>
    <row r="1338" spans="1:14" x14ac:dyDescent="0.3">
      <c r="A1338" s="33">
        <v>45504</v>
      </c>
      <c r="B1338" s="34" t="s">
        <v>74</v>
      </c>
      <c r="C1338" s="34" t="s">
        <v>61</v>
      </c>
      <c r="D1338" s="34" t="s">
        <v>65</v>
      </c>
      <c r="E1338" s="34" t="s">
        <v>72</v>
      </c>
      <c r="F1338" s="35">
        <v>39754</v>
      </c>
      <c r="G1338" s="35">
        <v>1164</v>
      </c>
      <c r="H1338" s="36">
        <v>2.93E-2</v>
      </c>
      <c r="I1338" s="37">
        <v>1.35</v>
      </c>
      <c r="J1338" s="37">
        <v>1571.4</v>
      </c>
      <c r="K1338" s="35">
        <v>72</v>
      </c>
      <c r="L1338" s="37">
        <v>21.83</v>
      </c>
      <c r="M1338" s="37">
        <v>9221.61</v>
      </c>
      <c r="N1338" s="38">
        <v>5.87</v>
      </c>
    </row>
    <row r="1339" spans="1:14" x14ac:dyDescent="0.3">
      <c r="A1339" s="33">
        <v>45520</v>
      </c>
      <c r="B1339" s="34" t="s">
        <v>60</v>
      </c>
      <c r="C1339" s="34" t="s">
        <v>70</v>
      </c>
      <c r="D1339" s="34" t="s">
        <v>71</v>
      </c>
      <c r="E1339" s="34" t="s">
        <v>63</v>
      </c>
      <c r="F1339" s="35">
        <v>89383</v>
      </c>
      <c r="G1339" s="35">
        <v>5631</v>
      </c>
      <c r="H1339" s="36">
        <v>6.3E-2</v>
      </c>
      <c r="I1339" s="37">
        <v>3.67</v>
      </c>
      <c r="J1339" s="37">
        <v>20665.77</v>
      </c>
      <c r="K1339" s="35">
        <v>163</v>
      </c>
      <c r="L1339" s="37">
        <v>126.78</v>
      </c>
      <c r="M1339" s="37">
        <v>35918.239999999998</v>
      </c>
      <c r="N1339" s="38">
        <v>1.74</v>
      </c>
    </row>
    <row r="1340" spans="1:14" x14ac:dyDescent="0.3">
      <c r="A1340" s="33">
        <v>45330</v>
      </c>
      <c r="B1340" s="34" t="s">
        <v>64</v>
      </c>
      <c r="C1340" s="34" t="s">
        <v>61</v>
      </c>
      <c r="D1340" s="34" t="s">
        <v>65</v>
      </c>
      <c r="E1340" s="34" t="s">
        <v>69</v>
      </c>
      <c r="F1340" s="35">
        <v>128900</v>
      </c>
      <c r="G1340" s="35">
        <v>10273</v>
      </c>
      <c r="H1340" s="36">
        <v>7.9699999999999993E-2</v>
      </c>
      <c r="I1340" s="37">
        <v>0.84</v>
      </c>
      <c r="J1340" s="37">
        <v>8629.32</v>
      </c>
      <c r="K1340" s="35">
        <v>238</v>
      </c>
      <c r="L1340" s="37">
        <v>36.26</v>
      </c>
      <c r="M1340" s="37">
        <v>11417.91</v>
      </c>
      <c r="N1340" s="38">
        <v>1.32</v>
      </c>
    </row>
    <row r="1341" spans="1:14" x14ac:dyDescent="0.3">
      <c r="A1341" s="33">
        <v>45522</v>
      </c>
      <c r="B1341" s="34" t="s">
        <v>60</v>
      </c>
      <c r="C1341" s="34" t="s">
        <v>75</v>
      </c>
      <c r="D1341" s="34" t="s">
        <v>65</v>
      </c>
      <c r="E1341" s="34" t="s">
        <v>73</v>
      </c>
      <c r="F1341" s="35">
        <v>179159</v>
      </c>
      <c r="G1341" s="35">
        <v>6593</v>
      </c>
      <c r="H1341" s="36">
        <v>3.6799999999999999E-2</v>
      </c>
      <c r="I1341" s="37">
        <v>2.23</v>
      </c>
      <c r="J1341" s="37">
        <v>14702.39</v>
      </c>
      <c r="K1341" s="35">
        <v>459</v>
      </c>
      <c r="L1341" s="37">
        <v>32.03</v>
      </c>
      <c r="M1341" s="37">
        <v>76527.740000000005</v>
      </c>
      <c r="N1341" s="38">
        <v>5.21</v>
      </c>
    </row>
    <row r="1342" spans="1:14" x14ac:dyDescent="0.3">
      <c r="A1342" s="33">
        <v>45381</v>
      </c>
      <c r="B1342" s="34" t="s">
        <v>64</v>
      </c>
      <c r="C1342" s="34" t="s">
        <v>75</v>
      </c>
      <c r="D1342" s="34" t="s">
        <v>71</v>
      </c>
      <c r="E1342" s="34" t="s">
        <v>77</v>
      </c>
      <c r="F1342" s="35">
        <v>15739</v>
      </c>
      <c r="G1342" s="35">
        <v>1205</v>
      </c>
      <c r="H1342" s="36">
        <v>7.6600000000000001E-2</v>
      </c>
      <c r="I1342" s="37">
        <v>0.46</v>
      </c>
      <c r="J1342" s="37">
        <v>554.29999999999995</v>
      </c>
      <c r="K1342" s="35">
        <v>60</v>
      </c>
      <c r="L1342" s="37">
        <v>9.24</v>
      </c>
      <c r="M1342" s="37">
        <v>6092.69</v>
      </c>
      <c r="N1342" s="38">
        <v>10.99</v>
      </c>
    </row>
    <row r="1343" spans="1:14" x14ac:dyDescent="0.3">
      <c r="A1343" s="33">
        <v>45371</v>
      </c>
      <c r="B1343" s="34" t="s">
        <v>74</v>
      </c>
      <c r="C1343" s="34" t="s">
        <v>70</v>
      </c>
      <c r="D1343" s="34" t="s">
        <v>62</v>
      </c>
      <c r="E1343" s="34" t="s">
        <v>78</v>
      </c>
      <c r="F1343" s="35">
        <v>25243</v>
      </c>
      <c r="G1343" s="35">
        <v>580</v>
      </c>
      <c r="H1343" s="36">
        <v>2.3E-2</v>
      </c>
      <c r="I1343" s="37">
        <v>1.98</v>
      </c>
      <c r="J1343" s="37">
        <v>1148.4000000000001</v>
      </c>
      <c r="K1343" s="35">
        <v>13</v>
      </c>
      <c r="L1343" s="37">
        <v>88.34</v>
      </c>
      <c r="M1343" s="37">
        <v>3883.09</v>
      </c>
      <c r="N1343" s="38">
        <v>3.38</v>
      </c>
    </row>
    <row r="1344" spans="1:14" x14ac:dyDescent="0.3">
      <c r="A1344" s="33">
        <v>45450</v>
      </c>
      <c r="B1344" s="34" t="s">
        <v>64</v>
      </c>
      <c r="C1344" s="34" t="s">
        <v>67</v>
      </c>
      <c r="D1344" s="34" t="s">
        <v>62</v>
      </c>
      <c r="E1344" s="34" t="s">
        <v>73</v>
      </c>
      <c r="F1344" s="35">
        <v>196745</v>
      </c>
      <c r="G1344" s="35">
        <v>13240</v>
      </c>
      <c r="H1344" s="36">
        <v>6.7299999999999999E-2</v>
      </c>
      <c r="I1344" s="37">
        <v>1.63</v>
      </c>
      <c r="J1344" s="37">
        <v>21581.200000000001</v>
      </c>
      <c r="K1344" s="35">
        <v>761</v>
      </c>
      <c r="L1344" s="37">
        <v>28.36</v>
      </c>
      <c r="M1344" s="37">
        <v>195233.42</v>
      </c>
      <c r="N1344" s="38">
        <v>9.0500000000000007</v>
      </c>
    </row>
    <row r="1345" spans="1:14" x14ac:dyDescent="0.3">
      <c r="A1345" s="33">
        <v>45618</v>
      </c>
      <c r="B1345" s="34" t="s">
        <v>74</v>
      </c>
      <c r="C1345" s="34" t="s">
        <v>61</v>
      </c>
      <c r="D1345" s="34" t="s">
        <v>76</v>
      </c>
      <c r="E1345" s="34" t="s">
        <v>72</v>
      </c>
      <c r="F1345" s="35">
        <v>23186</v>
      </c>
      <c r="G1345" s="35">
        <v>512</v>
      </c>
      <c r="H1345" s="36">
        <v>2.2100000000000002E-2</v>
      </c>
      <c r="I1345" s="37">
        <v>2.11</v>
      </c>
      <c r="J1345" s="37">
        <v>1080.32</v>
      </c>
      <c r="K1345" s="35">
        <v>26</v>
      </c>
      <c r="L1345" s="37">
        <v>41.55</v>
      </c>
      <c r="M1345" s="37">
        <v>2663.68</v>
      </c>
      <c r="N1345" s="38">
        <v>2.4700000000000002</v>
      </c>
    </row>
    <row r="1346" spans="1:14" x14ac:dyDescent="0.3">
      <c r="A1346" s="33">
        <v>45591</v>
      </c>
      <c r="B1346" s="34" t="s">
        <v>60</v>
      </c>
      <c r="C1346" s="34" t="s">
        <v>70</v>
      </c>
      <c r="D1346" s="34" t="s">
        <v>71</v>
      </c>
      <c r="E1346" s="34" t="s">
        <v>69</v>
      </c>
      <c r="F1346" s="35">
        <v>189480</v>
      </c>
      <c r="G1346" s="35">
        <v>6290</v>
      </c>
      <c r="H1346" s="36">
        <v>3.32E-2</v>
      </c>
      <c r="I1346" s="37">
        <v>3.55</v>
      </c>
      <c r="J1346" s="37">
        <v>22329.5</v>
      </c>
      <c r="K1346" s="35">
        <v>204</v>
      </c>
      <c r="L1346" s="37">
        <v>109.46</v>
      </c>
      <c r="M1346" s="37">
        <v>44620.04</v>
      </c>
      <c r="N1346" s="38">
        <v>2</v>
      </c>
    </row>
    <row r="1347" spans="1:14" x14ac:dyDescent="0.3">
      <c r="A1347" s="33">
        <v>45607</v>
      </c>
      <c r="B1347" s="34" t="s">
        <v>74</v>
      </c>
      <c r="C1347" s="34" t="s">
        <v>67</v>
      </c>
      <c r="D1347" s="34" t="s">
        <v>62</v>
      </c>
      <c r="E1347" s="34" t="s">
        <v>66</v>
      </c>
      <c r="F1347" s="35">
        <v>112518</v>
      </c>
      <c r="G1347" s="35">
        <v>1597</v>
      </c>
      <c r="H1347" s="36">
        <v>1.4200000000000001E-2</v>
      </c>
      <c r="I1347" s="37">
        <v>1.08</v>
      </c>
      <c r="J1347" s="37">
        <v>1724.76</v>
      </c>
      <c r="K1347" s="35">
        <v>105</v>
      </c>
      <c r="L1347" s="37">
        <v>16.43</v>
      </c>
      <c r="M1347" s="37">
        <v>25379.08</v>
      </c>
      <c r="N1347" s="38">
        <v>14.71</v>
      </c>
    </row>
    <row r="1348" spans="1:14" x14ac:dyDescent="0.3">
      <c r="A1348" s="33">
        <v>45516</v>
      </c>
      <c r="B1348" s="34" t="s">
        <v>60</v>
      </c>
      <c r="C1348" s="34" t="s">
        <v>67</v>
      </c>
      <c r="D1348" s="34" t="s">
        <v>76</v>
      </c>
      <c r="E1348" s="34" t="s">
        <v>69</v>
      </c>
      <c r="F1348" s="35">
        <v>116789</v>
      </c>
      <c r="G1348" s="35">
        <v>6586</v>
      </c>
      <c r="H1348" s="36">
        <v>5.6399999999999999E-2</v>
      </c>
      <c r="I1348" s="37">
        <v>2.69</v>
      </c>
      <c r="J1348" s="37">
        <v>17716.34</v>
      </c>
      <c r="K1348" s="35">
        <v>220</v>
      </c>
      <c r="L1348" s="37">
        <v>80.53</v>
      </c>
      <c r="M1348" s="37">
        <v>34309.56</v>
      </c>
      <c r="N1348" s="38">
        <v>1.94</v>
      </c>
    </row>
    <row r="1349" spans="1:14" x14ac:dyDescent="0.3">
      <c r="A1349" s="33">
        <v>45408</v>
      </c>
      <c r="B1349" s="34" t="s">
        <v>64</v>
      </c>
      <c r="C1349" s="34" t="s">
        <v>61</v>
      </c>
      <c r="D1349" s="34" t="s">
        <v>71</v>
      </c>
      <c r="E1349" s="34" t="s">
        <v>72</v>
      </c>
      <c r="F1349" s="35">
        <v>42575</v>
      </c>
      <c r="G1349" s="35">
        <v>2188</v>
      </c>
      <c r="H1349" s="36">
        <v>5.1400000000000001E-2</v>
      </c>
      <c r="I1349" s="37">
        <v>1.8</v>
      </c>
      <c r="J1349" s="37">
        <v>3938.4</v>
      </c>
      <c r="K1349" s="35">
        <v>63</v>
      </c>
      <c r="L1349" s="37">
        <v>62.51</v>
      </c>
      <c r="M1349" s="37">
        <v>13519.27</v>
      </c>
      <c r="N1349" s="38">
        <v>3.43</v>
      </c>
    </row>
    <row r="1350" spans="1:14" x14ac:dyDescent="0.3">
      <c r="A1350" s="33">
        <v>45496</v>
      </c>
      <c r="B1350" s="34" t="s">
        <v>64</v>
      </c>
      <c r="C1350" s="34" t="s">
        <v>67</v>
      </c>
      <c r="D1350" s="34" t="s">
        <v>62</v>
      </c>
      <c r="E1350" s="34" t="s">
        <v>73</v>
      </c>
      <c r="F1350" s="35">
        <v>51557</v>
      </c>
      <c r="G1350" s="35">
        <v>2882</v>
      </c>
      <c r="H1350" s="36">
        <v>5.5899999999999998E-2</v>
      </c>
      <c r="I1350" s="37">
        <v>1.25</v>
      </c>
      <c r="J1350" s="37">
        <v>3602.5</v>
      </c>
      <c r="K1350" s="35">
        <v>135</v>
      </c>
      <c r="L1350" s="37">
        <v>26.69</v>
      </c>
      <c r="M1350" s="37">
        <v>6028.08</v>
      </c>
      <c r="N1350" s="38">
        <v>1.67</v>
      </c>
    </row>
    <row r="1351" spans="1:14" x14ac:dyDescent="0.3">
      <c r="A1351" s="33">
        <v>45297</v>
      </c>
      <c r="B1351" s="34" t="s">
        <v>74</v>
      </c>
      <c r="C1351" s="34" t="s">
        <v>67</v>
      </c>
      <c r="D1351" s="34" t="s">
        <v>68</v>
      </c>
      <c r="E1351" s="34" t="s">
        <v>78</v>
      </c>
      <c r="F1351" s="35">
        <v>131681</v>
      </c>
      <c r="G1351" s="35">
        <v>1725</v>
      </c>
      <c r="H1351" s="36">
        <v>1.3100000000000001E-2</v>
      </c>
      <c r="I1351" s="37">
        <v>0.79</v>
      </c>
      <c r="J1351" s="37">
        <v>1362.75</v>
      </c>
      <c r="K1351" s="35">
        <v>108</v>
      </c>
      <c r="L1351" s="37">
        <v>12.62</v>
      </c>
      <c r="M1351" s="37">
        <v>31291.1</v>
      </c>
      <c r="N1351" s="38">
        <v>22.96</v>
      </c>
    </row>
    <row r="1352" spans="1:14" x14ac:dyDescent="0.3">
      <c r="A1352" s="33">
        <v>45423</v>
      </c>
      <c r="B1352" s="34" t="s">
        <v>60</v>
      </c>
      <c r="C1352" s="34" t="s">
        <v>61</v>
      </c>
      <c r="D1352" s="34" t="s">
        <v>71</v>
      </c>
      <c r="E1352" s="34" t="s">
        <v>73</v>
      </c>
      <c r="F1352" s="35">
        <v>89833</v>
      </c>
      <c r="G1352" s="35">
        <v>4536</v>
      </c>
      <c r="H1352" s="36">
        <v>5.0500000000000003E-2</v>
      </c>
      <c r="I1352" s="37">
        <v>3.74</v>
      </c>
      <c r="J1352" s="37">
        <v>16964.64</v>
      </c>
      <c r="K1352" s="35">
        <v>166</v>
      </c>
      <c r="L1352" s="37">
        <v>102.2</v>
      </c>
      <c r="M1352" s="37">
        <v>42497.440000000002</v>
      </c>
      <c r="N1352" s="38">
        <v>2.5099999999999998</v>
      </c>
    </row>
    <row r="1353" spans="1:14" x14ac:dyDescent="0.3">
      <c r="A1353" s="33">
        <v>45635</v>
      </c>
      <c r="B1353" s="34" t="s">
        <v>74</v>
      </c>
      <c r="C1353" s="34" t="s">
        <v>70</v>
      </c>
      <c r="D1353" s="34" t="s">
        <v>62</v>
      </c>
      <c r="E1353" s="34" t="s">
        <v>69</v>
      </c>
      <c r="F1353" s="35">
        <v>116161</v>
      </c>
      <c r="G1353" s="35">
        <v>4379</v>
      </c>
      <c r="H1353" s="36">
        <v>3.7699999999999997E-2</v>
      </c>
      <c r="I1353" s="37">
        <v>1.77</v>
      </c>
      <c r="J1353" s="37">
        <v>7750.83</v>
      </c>
      <c r="K1353" s="35">
        <v>264</v>
      </c>
      <c r="L1353" s="37">
        <v>29.36</v>
      </c>
      <c r="M1353" s="37">
        <v>18090.29</v>
      </c>
      <c r="N1353" s="38">
        <v>2.33</v>
      </c>
    </row>
    <row r="1354" spans="1:14" x14ac:dyDescent="0.3">
      <c r="A1354" s="33">
        <v>45300</v>
      </c>
      <c r="B1354" s="34" t="s">
        <v>60</v>
      </c>
      <c r="C1354" s="34" t="s">
        <v>61</v>
      </c>
      <c r="D1354" s="34" t="s">
        <v>71</v>
      </c>
      <c r="E1354" s="34" t="s">
        <v>78</v>
      </c>
      <c r="F1354" s="35">
        <v>53544</v>
      </c>
      <c r="G1354" s="35">
        <v>1670</v>
      </c>
      <c r="H1354" s="36">
        <v>3.1199999999999999E-2</v>
      </c>
      <c r="I1354" s="37">
        <v>1.41</v>
      </c>
      <c r="J1354" s="37">
        <v>2354.6999999999998</v>
      </c>
      <c r="K1354" s="35">
        <v>20</v>
      </c>
      <c r="L1354" s="37">
        <v>117.73</v>
      </c>
      <c r="M1354" s="37">
        <v>4659.21</v>
      </c>
      <c r="N1354" s="38">
        <v>1.98</v>
      </c>
    </row>
    <row r="1355" spans="1:14" x14ac:dyDescent="0.3">
      <c r="A1355" s="33">
        <v>45639</v>
      </c>
      <c r="B1355" s="34" t="s">
        <v>74</v>
      </c>
      <c r="C1355" s="34" t="s">
        <v>70</v>
      </c>
      <c r="D1355" s="34" t="s">
        <v>62</v>
      </c>
      <c r="E1355" s="34" t="s">
        <v>73</v>
      </c>
      <c r="F1355" s="35">
        <v>107126</v>
      </c>
      <c r="G1355" s="35">
        <v>3631</v>
      </c>
      <c r="H1355" s="36">
        <v>3.39E-2</v>
      </c>
      <c r="I1355" s="37">
        <v>1.08</v>
      </c>
      <c r="J1355" s="37">
        <v>3921.48</v>
      </c>
      <c r="K1355" s="35">
        <v>260</v>
      </c>
      <c r="L1355" s="37">
        <v>15.08</v>
      </c>
      <c r="M1355" s="37">
        <v>19151.86</v>
      </c>
      <c r="N1355" s="38">
        <v>4.88</v>
      </c>
    </row>
    <row r="1356" spans="1:14" x14ac:dyDescent="0.3">
      <c r="A1356" s="33">
        <v>45594</v>
      </c>
      <c r="B1356" s="34" t="s">
        <v>60</v>
      </c>
      <c r="C1356" s="34" t="s">
        <v>70</v>
      </c>
      <c r="D1356" s="34" t="s">
        <v>65</v>
      </c>
      <c r="E1356" s="34" t="s">
        <v>69</v>
      </c>
      <c r="F1356" s="35">
        <v>182395</v>
      </c>
      <c r="G1356" s="35">
        <v>8517</v>
      </c>
      <c r="H1356" s="36">
        <v>4.6699999999999998E-2</v>
      </c>
      <c r="I1356" s="37">
        <v>3.45</v>
      </c>
      <c r="J1356" s="37">
        <v>29383.65</v>
      </c>
      <c r="K1356" s="35">
        <v>517</v>
      </c>
      <c r="L1356" s="37">
        <v>56.83</v>
      </c>
      <c r="M1356" s="37">
        <v>27133.78</v>
      </c>
      <c r="N1356" s="38">
        <v>0.92</v>
      </c>
    </row>
    <row r="1357" spans="1:14" x14ac:dyDescent="0.3">
      <c r="A1357" s="33">
        <v>45580</v>
      </c>
      <c r="B1357" s="34" t="s">
        <v>74</v>
      </c>
      <c r="C1357" s="34" t="s">
        <v>67</v>
      </c>
      <c r="D1357" s="34" t="s">
        <v>71</v>
      </c>
      <c r="E1357" s="34" t="s">
        <v>69</v>
      </c>
      <c r="F1357" s="35">
        <v>39253</v>
      </c>
      <c r="G1357" s="35">
        <v>1122</v>
      </c>
      <c r="H1357" s="36">
        <v>2.86E-2</v>
      </c>
      <c r="I1357" s="37">
        <v>1.25</v>
      </c>
      <c r="J1357" s="37">
        <v>1402.5</v>
      </c>
      <c r="K1357" s="35">
        <v>81</v>
      </c>
      <c r="L1357" s="37">
        <v>17.309999999999999</v>
      </c>
      <c r="M1357" s="37">
        <v>15452.61</v>
      </c>
      <c r="N1357" s="38">
        <v>11.02</v>
      </c>
    </row>
    <row r="1358" spans="1:14" x14ac:dyDescent="0.3">
      <c r="A1358" s="33">
        <v>45348</v>
      </c>
      <c r="B1358" s="34" t="s">
        <v>64</v>
      </c>
      <c r="C1358" s="34" t="s">
        <v>61</v>
      </c>
      <c r="D1358" s="34" t="s">
        <v>76</v>
      </c>
      <c r="E1358" s="34" t="s">
        <v>73</v>
      </c>
      <c r="F1358" s="35">
        <v>109794</v>
      </c>
      <c r="G1358" s="35">
        <v>3886</v>
      </c>
      <c r="H1358" s="36">
        <v>3.5400000000000001E-2</v>
      </c>
      <c r="I1358" s="37">
        <v>1.61</v>
      </c>
      <c r="J1358" s="37">
        <v>6256.46</v>
      </c>
      <c r="K1358" s="35">
        <v>73</v>
      </c>
      <c r="L1358" s="37">
        <v>85.7</v>
      </c>
      <c r="M1358" s="37">
        <v>9808.76</v>
      </c>
      <c r="N1358" s="38">
        <v>1.57</v>
      </c>
    </row>
    <row r="1359" spans="1:14" x14ac:dyDescent="0.3">
      <c r="A1359" s="33">
        <v>45605</v>
      </c>
      <c r="B1359" s="34" t="s">
        <v>60</v>
      </c>
      <c r="C1359" s="34" t="s">
        <v>67</v>
      </c>
      <c r="D1359" s="34" t="s">
        <v>76</v>
      </c>
      <c r="E1359" s="34" t="s">
        <v>63</v>
      </c>
      <c r="F1359" s="35">
        <v>27612</v>
      </c>
      <c r="G1359" s="35">
        <v>963</v>
      </c>
      <c r="H1359" s="36">
        <v>3.49E-2</v>
      </c>
      <c r="I1359" s="37">
        <v>3.3</v>
      </c>
      <c r="J1359" s="37">
        <v>3177.9</v>
      </c>
      <c r="K1359" s="35">
        <v>75</v>
      </c>
      <c r="L1359" s="37">
        <v>42.37</v>
      </c>
      <c r="M1359" s="37">
        <v>12575.02</v>
      </c>
      <c r="N1359" s="38">
        <v>3.96</v>
      </c>
    </row>
    <row r="1360" spans="1:14" x14ac:dyDescent="0.3">
      <c r="A1360" s="33">
        <v>45578</v>
      </c>
      <c r="B1360" s="34" t="s">
        <v>74</v>
      </c>
      <c r="C1360" s="34" t="s">
        <v>61</v>
      </c>
      <c r="D1360" s="34" t="s">
        <v>76</v>
      </c>
      <c r="E1360" s="34" t="s">
        <v>77</v>
      </c>
      <c r="F1360" s="35">
        <v>61994</v>
      </c>
      <c r="G1360" s="35">
        <v>1847</v>
      </c>
      <c r="H1360" s="36">
        <v>2.98E-2</v>
      </c>
      <c r="I1360" s="37">
        <v>0.8</v>
      </c>
      <c r="J1360" s="37">
        <v>1477.6</v>
      </c>
      <c r="K1360" s="35">
        <v>147</v>
      </c>
      <c r="L1360" s="37">
        <v>10.050000000000001</v>
      </c>
      <c r="M1360" s="37">
        <v>5622.21</v>
      </c>
      <c r="N1360" s="38">
        <v>3.8</v>
      </c>
    </row>
    <row r="1361" spans="1:14" x14ac:dyDescent="0.3">
      <c r="A1361" s="33">
        <v>45570</v>
      </c>
      <c r="B1361" s="34" t="s">
        <v>60</v>
      </c>
      <c r="C1361" s="34" t="s">
        <v>61</v>
      </c>
      <c r="D1361" s="34" t="s">
        <v>76</v>
      </c>
      <c r="E1361" s="34" t="s">
        <v>63</v>
      </c>
      <c r="F1361" s="35">
        <v>48953</v>
      </c>
      <c r="G1361" s="35">
        <v>2447</v>
      </c>
      <c r="H1361" s="36">
        <v>0.05</v>
      </c>
      <c r="I1361" s="37">
        <v>1.1100000000000001</v>
      </c>
      <c r="J1361" s="37">
        <v>2716.17</v>
      </c>
      <c r="K1361" s="35">
        <v>144</v>
      </c>
      <c r="L1361" s="37">
        <v>18.86</v>
      </c>
      <c r="M1361" s="37">
        <v>17526.62</v>
      </c>
      <c r="N1361" s="38">
        <v>6.45</v>
      </c>
    </row>
    <row r="1362" spans="1:14" x14ac:dyDescent="0.3">
      <c r="A1362" s="33">
        <v>45400</v>
      </c>
      <c r="B1362" s="34" t="s">
        <v>60</v>
      </c>
      <c r="C1362" s="34" t="s">
        <v>61</v>
      </c>
      <c r="D1362" s="34" t="s">
        <v>76</v>
      </c>
      <c r="E1362" s="34" t="s">
        <v>72</v>
      </c>
      <c r="F1362" s="35">
        <v>13484</v>
      </c>
      <c r="G1362" s="35">
        <v>382</v>
      </c>
      <c r="H1362" s="36">
        <v>2.8400000000000002E-2</v>
      </c>
      <c r="I1362" s="37">
        <v>1.34</v>
      </c>
      <c r="J1362" s="37">
        <v>511.88</v>
      </c>
      <c r="K1362" s="35">
        <v>23</v>
      </c>
      <c r="L1362" s="37">
        <v>22.26</v>
      </c>
      <c r="M1362" s="37">
        <v>1623.76</v>
      </c>
      <c r="N1362" s="38">
        <v>3.17</v>
      </c>
    </row>
    <row r="1363" spans="1:14" x14ac:dyDescent="0.3">
      <c r="A1363" s="33">
        <v>45612</v>
      </c>
      <c r="B1363" s="34" t="s">
        <v>64</v>
      </c>
      <c r="C1363" s="34" t="s">
        <v>75</v>
      </c>
      <c r="D1363" s="34" t="s">
        <v>65</v>
      </c>
      <c r="E1363" s="34" t="s">
        <v>66</v>
      </c>
      <c r="F1363" s="35">
        <v>13255</v>
      </c>
      <c r="G1363" s="35">
        <v>709</v>
      </c>
      <c r="H1363" s="36">
        <v>5.3499999999999999E-2</v>
      </c>
      <c r="I1363" s="37">
        <v>1.32</v>
      </c>
      <c r="J1363" s="37">
        <v>935.88</v>
      </c>
      <c r="K1363" s="35">
        <v>37</v>
      </c>
      <c r="L1363" s="37">
        <v>25.29</v>
      </c>
      <c r="M1363" s="37">
        <v>11059.11</v>
      </c>
      <c r="N1363" s="38">
        <v>11.82</v>
      </c>
    </row>
    <row r="1364" spans="1:14" x14ac:dyDescent="0.3">
      <c r="A1364" s="33">
        <v>45604</v>
      </c>
      <c r="B1364" s="34" t="s">
        <v>74</v>
      </c>
      <c r="C1364" s="34" t="s">
        <v>67</v>
      </c>
      <c r="D1364" s="34" t="s">
        <v>65</v>
      </c>
      <c r="E1364" s="34" t="s">
        <v>78</v>
      </c>
      <c r="F1364" s="35">
        <v>162889</v>
      </c>
      <c r="G1364" s="35">
        <v>4658</v>
      </c>
      <c r="H1364" s="36">
        <v>2.86E-2</v>
      </c>
      <c r="I1364" s="37">
        <v>1.1100000000000001</v>
      </c>
      <c r="J1364" s="37">
        <v>5170.38</v>
      </c>
      <c r="K1364" s="35">
        <v>332</v>
      </c>
      <c r="L1364" s="37">
        <v>15.57</v>
      </c>
      <c r="M1364" s="37">
        <v>57094.6</v>
      </c>
      <c r="N1364" s="38">
        <v>11.04</v>
      </c>
    </row>
    <row r="1365" spans="1:14" x14ac:dyDescent="0.3">
      <c r="A1365" s="33">
        <v>45593</v>
      </c>
      <c r="B1365" s="34" t="s">
        <v>64</v>
      </c>
      <c r="C1365" s="34" t="s">
        <v>70</v>
      </c>
      <c r="D1365" s="34" t="s">
        <v>68</v>
      </c>
      <c r="E1365" s="34" t="s">
        <v>63</v>
      </c>
      <c r="F1365" s="35">
        <v>21972</v>
      </c>
      <c r="G1365" s="35">
        <v>1915</v>
      </c>
      <c r="H1365" s="36">
        <v>8.72E-2</v>
      </c>
      <c r="I1365" s="37">
        <v>1.05</v>
      </c>
      <c r="J1365" s="37">
        <v>2010.75</v>
      </c>
      <c r="K1365" s="35">
        <v>36</v>
      </c>
      <c r="L1365" s="37">
        <v>55.85</v>
      </c>
      <c r="M1365" s="37">
        <v>2412.15</v>
      </c>
      <c r="N1365" s="38">
        <v>1.2</v>
      </c>
    </row>
    <row r="1366" spans="1:14" x14ac:dyDescent="0.3">
      <c r="A1366" s="33">
        <v>45524</v>
      </c>
      <c r="B1366" s="34" t="s">
        <v>64</v>
      </c>
      <c r="C1366" s="34" t="s">
        <v>70</v>
      </c>
      <c r="D1366" s="34" t="s">
        <v>71</v>
      </c>
      <c r="E1366" s="34" t="s">
        <v>73</v>
      </c>
      <c r="F1366" s="35">
        <v>186136</v>
      </c>
      <c r="G1366" s="35">
        <v>13885</v>
      </c>
      <c r="H1366" s="36">
        <v>7.46E-2</v>
      </c>
      <c r="I1366" s="37">
        <v>0.95</v>
      </c>
      <c r="J1366" s="37">
        <v>13190.75</v>
      </c>
      <c r="K1366" s="35">
        <v>891</v>
      </c>
      <c r="L1366" s="37">
        <v>14.8</v>
      </c>
      <c r="M1366" s="37">
        <v>133397.70000000001</v>
      </c>
      <c r="N1366" s="38">
        <v>10.11</v>
      </c>
    </row>
    <row r="1367" spans="1:14" x14ac:dyDescent="0.3">
      <c r="A1367" s="33">
        <v>45410</v>
      </c>
      <c r="B1367" s="34" t="s">
        <v>60</v>
      </c>
      <c r="C1367" s="34" t="s">
        <v>75</v>
      </c>
      <c r="D1367" s="34" t="s">
        <v>68</v>
      </c>
      <c r="E1367" s="34" t="s">
        <v>63</v>
      </c>
      <c r="F1367" s="35">
        <v>135171</v>
      </c>
      <c r="G1367" s="35">
        <v>5231</v>
      </c>
      <c r="H1367" s="36">
        <v>3.8699999999999998E-2</v>
      </c>
      <c r="I1367" s="37">
        <v>1.78</v>
      </c>
      <c r="J1367" s="37">
        <v>9311.18</v>
      </c>
      <c r="K1367" s="35">
        <v>149</v>
      </c>
      <c r="L1367" s="37">
        <v>62.49</v>
      </c>
      <c r="M1367" s="37">
        <v>19918.919999999998</v>
      </c>
      <c r="N1367" s="38">
        <v>2.14</v>
      </c>
    </row>
    <row r="1368" spans="1:14" x14ac:dyDescent="0.3">
      <c r="A1368" s="33">
        <v>45378</v>
      </c>
      <c r="B1368" s="34" t="s">
        <v>74</v>
      </c>
      <c r="C1368" s="34" t="s">
        <v>61</v>
      </c>
      <c r="D1368" s="34" t="s">
        <v>62</v>
      </c>
      <c r="E1368" s="34" t="s">
        <v>77</v>
      </c>
      <c r="F1368" s="35">
        <v>176656</v>
      </c>
      <c r="G1368" s="35">
        <v>2897</v>
      </c>
      <c r="H1368" s="36">
        <v>1.6400000000000001E-2</v>
      </c>
      <c r="I1368" s="37">
        <v>1.87</v>
      </c>
      <c r="J1368" s="37">
        <v>5417.39</v>
      </c>
      <c r="K1368" s="35">
        <v>86</v>
      </c>
      <c r="L1368" s="37">
        <v>62.99</v>
      </c>
      <c r="M1368" s="37">
        <v>23130.95</v>
      </c>
      <c r="N1368" s="38">
        <v>4.2699999999999996</v>
      </c>
    </row>
    <row r="1369" spans="1:14" x14ac:dyDescent="0.3">
      <c r="A1369" s="33">
        <v>45328</v>
      </c>
      <c r="B1369" s="34" t="s">
        <v>60</v>
      </c>
      <c r="C1369" s="34" t="s">
        <v>75</v>
      </c>
      <c r="D1369" s="34" t="s">
        <v>68</v>
      </c>
      <c r="E1369" s="34" t="s">
        <v>69</v>
      </c>
      <c r="F1369" s="35">
        <v>51678</v>
      </c>
      <c r="G1369" s="35">
        <v>2966</v>
      </c>
      <c r="H1369" s="36">
        <v>5.74E-2</v>
      </c>
      <c r="I1369" s="37">
        <v>2.58</v>
      </c>
      <c r="J1369" s="37">
        <v>7652.28</v>
      </c>
      <c r="K1369" s="35">
        <v>192</v>
      </c>
      <c r="L1369" s="37">
        <v>39.86</v>
      </c>
      <c r="M1369" s="37">
        <v>21240.9</v>
      </c>
      <c r="N1369" s="38">
        <v>2.78</v>
      </c>
    </row>
    <row r="1370" spans="1:14" x14ac:dyDescent="0.3">
      <c r="A1370" s="33">
        <v>45515</v>
      </c>
      <c r="B1370" s="34" t="s">
        <v>74</v>
      </c>
      <c r="C1370" s="34" t="s">
        <v>61</v>
      </c>
      <c r="D1370" s="34" t="s">
        <v>71</v>
      </c>
      <c r="E1370" s="34" t="s">
        <v>72</v>
      </c>
      <c r="F1370" s="35">
        <v>26491</v>
      </c>
      <c r="G1370" s="35">
        <v>423</v>
      </c>
      <c r="H1370" s="36">
        <v>1.6E-2</v>
      </c>
      <c r="I1370" s="37">
        <v>0.95</v>
      </c>
      <c r="J1370" s="37">
        <v>401.85</v>
      </c>
      <c r="K1370" s="35">
        <v>28</v>
      </c>
      <c r="L1370" s="37">
        <v>14.35</v>
      </c>
      <c r="M1370" s="37">
        <v>3219.77</v>
      </c>
      <c r="N1370" s="38">
        <v>8.01</v>
      </c>
    </row>
    <row r="1371" spans="1:14" x14ac:dyDescent="0.3">
      <c r="A1371" s="33">
        <v>45550</v>
      </c>
      <c r="B1371" s="34" t="s">
        <v>74</v>
      </c>
      <c r="C1371" s="34" t="s">
        <v>70</v>
      </c>
      <c r="D1371" s="34" t="s">
        <v>68</v>
      </c>
      <c r="E1371" s="34" t="s">
        <v>66</v>
      </c>
      <c r="F1371" s="35">
        <v>174862</v>
      </c>
      <c r="G1371" s="35">
        <v>3846</v>
      </c>
      <c r="H1371" s="36">
        <v>2.1999999999999999E-2</v>
      </c>
      <c r="I1371" s="37">
        <v>0.45</v>
      </c>
      <c r="J1371" s="37">
        <v>1730.7</v>
      </c>
      <c r="K1371" s="35">
        <v>299</v>
      </c>
      <c r="L1371" s="37">
        <v>5.79</v>
      </c>
      <c r="M1371" s="37">
        <v>67036.78</v>
      </c>
      <c r="N1371" s="38">
        <v>38.729999999999997</v>
      </c>
    </row>
    <row r="1372" spans="1:14" x14ac:dyDescent="0.3">
      <c r="A1372" s="33">
        <v>45578</v>
      </c>
      <c r="B1372" s="34" t="s">
        <v>74</v>
      </c>
      <c r="C1372" s="34" t="s">
        <v>67</v>
      </c>
      <c r="D1372" s="34" t="s">
        <v>76</v>
      </c>
      <c r="E1372" s="34" t="s">
        <v>72</v>
      </c>
      <c r="F1372" s="35">
        <v>77353</v>
      </c>
      <c r="G1372" s="35">
        <v>1895</v>
      </c>
      <c r="H1372" s="36">
        <v>2.4500000000000001E-2</v>
      </c>
      <c r="I1372" s="37">
        <v>1.69</v>
      </c>
      <c r="J1372" s="37">
        <v>3202.55</v>
      </c>
      <c r="K1372" s="35">
        <v>73</v>
      </c>
      <c r="L1372" s="37">
        <v>43.87</v>
      </c>
      <c r="M1372" s="37">
        <v>9316.26</v>
      </c>
      <c r="N1372" s="38">
        <v>2.91</v>
      </c>
    </row>
    <row r="1373" spans="1:14" x14ac:dyDescent="0.3">
      <c r="A1373" s="33">
        <v>45368</v>
      </c>
      <c r="B1373" s="34" t="s">
        <v>74</v>
      </c>
      <c r="C1373" s="34" t="s">
        <v>70</v>
      </c>
      <c r="D1373" s="34" t="s">
        <v>65</v>
      </c>
      <c r="E1373" s="34" t="s">
        <v>63</v>
      </c>
      <c r="F1373" s="35">
        <v>108726</v>
      </c>
      <c r="G1373" s="35">
        <v>2968</v>
      </c>
      <c r="H1373" s="36">
        <v>2.7300000000000001E-2</v>
      </c>
      <c r="I1373" s="37">
        <v>2.3199999999999998</v>
      </c>
      <c r="J1373" s="37">
        <v>6885.76</v>
      </c>
      <c r="K1373" s="35">
        <v>49</v>
      </c>
      <c r="L1373" s="37">
        <v>140.53</v>
      </c>
      <c r="M1373" s="37">
        <v>2393.62</v>
      </c>
      <c r="N1373" s="38">
        <v>0.35</v>
      </c>
    </row>
    <row r="1374" spans="1:14" x14ac:dyDescent="0.3">
      <c r="A1374" s="33">
        <v>45471</v>
      </c>
      <c r="B1374" s="34" t="s">
        <v>60</v>
      </c>
      <c r="C1374" s="34" t="s">
        <v>61</v>
      </c>
      <c r="D1374" s="34" t="s">
        <v>62</v>
      </c>
      <c r="E1374" s="34" t="s">
        <v>66</v>
      </c>
      <c r="F1374" s="35">
        <v>196883</v>
      </c>
      <c r="G1374" s="35">
        <v>10119</v>
      </c>
      <c r="H1374" s="36">
        <v>5.1400000000000001E-2</v>
      </c>
      <c r="I1374" s="37">
        <v>1.48</v>
      </c>
      <c r="J1374" s="37">
        <v>14976.12</v>
      </c>
      <c r="K1374" s="35">
        <v>636</v>
      </c>
      <c r="L1374" s="37">
        <v>23.55</v>
      </c>
      <c r="M1374" s="37">
        <v>121588.49</v>
      </c>
      <c r="N1374" s="38">
        <v>8.1199999999999992</v>
      </c>
    </row>
    <row r="1375" spans="1:14" x14ac:dyDescent="0.3">
      <c r="A1375" s="33">
        <v>45649</v>
      </c>
      <c r="B1375" s="34" t="s">
        <v>60</v>
      </c>
      <c r="C1375" s="34" t="s">
        <v>61</v>
      </c>
      <c r="D1375" s="34" t="s">
        <v>65</v>
      </c>
      <c r="E1375" s="34" t="s">
        <v>63</v>
      </c>
      <c r="F1375" s="35">
        <v>180627</v>
      </c>
      <c r="G1375" s="35">
        <v>8074</v>
      </c>
      <c r="H1375" s="36">
        <v>4.4699999999999997E-2</v>
      </c>
      <c r="I1375" s="37">
        <v>1.58</v>
      </c>
      <c r="J1375" s="37">
        <v>12756.92</v>
      </c>
      <c r="K1375" s="35">
        <v>266</v>
      </c>
      <c r="L1375" s="37">
        <v>47.96</v>
      </c>
      <c r="M1375" s="37">
        <v>72041.279999999999</v>
      </c>
      <c r="N1375" s="38">
        <v>5.65</v>
      </c>
    </row>
    <row r="1376" spans="1:14" x14ac:dyDescent="0.3">
      <c r="A1376" s="33">
        <v>45347</v>
      </c>
      <c r="B1376" s="34" t="s">
        <v>60</v>
      </c>
      <c r="C1376" s="34" t="s">
        <v>67</v>
      </c>
      <c r="D1376" s="34" t="s">
        <v>71</v>
      </c>
      <c r="E1376" s="34" t="s">
        <v>77</v>
      </c>
      <c r="F1376" s="35">
        <v>85196</v>
      </c>
      <c r="G1376" s="35">
        <v>2572</v>
      </c>
      <c r="H1376" s="36">
        <v>3.0200000000000001E-2</v>
      </c>
      <c r="I1376" s="37">
        <v>2.29</v>
      </c>
      <c r="J1376" s="37">
        <v>5889.88</v>
      </c>
      <c r="K1376" s="35">
        <v>34</v>
      </c>
      <c r="L1376" s="37">
        <v>173.23</v>
      </c>
      <c r="M1376" s="37">
        <v>8900.58</v>
      </c>
      <c r="N1376" s="38">
        <v>1.51</v>
      </c>
    </row>
    <row r="1377" spans="1:14" x14ac:dyDescent="0.3">
      <c r="A1377" s="33">
        <v>45369</v>
      </c>
      <c r="B1377" s="34" t="s">
        <v>60</v>
      </c>
      <c r="C1377" s="34" t="s">
        <v>67</v>
      </c>
      <c r="D1377" s="34" t="s">
        <v>76</v>
      </c>
      <c r="E1377" s="34" t="s">
        <v>78</v>
      </c>
      <c r="F1377" s="35">
        <v>74098</v>
      </c>
      <c r="G1377" s="35">
        <v>1911</v>
      </c>
      <c r="H1377" s="36">
        <v>2.58E-2</v>
      </c>
      <c r="I1377" s="37">
        <v>2.85</v>
      </c>
      <c r="J1377" s="37">
        <v>5446.35</v>
      </c>
      <c r="K1377" s="35">
        <v>91</v>
      </c>
      <c r="L1377" s="37">
        <v>59.85</v>
      </c>
      <c r="M1377" s="37">
        <v>9234.9599999999991</v>
      </c>
      <c r="N1377" s="38">
        <v>1.7</v>
      </c>
    </row>
    <row r="1378" spans="1:14" x14ac:dyDescent="0.3">
      <c r="A1378" s="33">
        <v>45298</v>
      </c>
      <c r="B1378" s="34" t="s">
        <v>64</v>
      </c>
      <c r="C1378" s="34" t="s">
        <v>61</v>
      </c>
      <c r="D1378" s="34" t="s">
        <v>68</v>
      </c>
      <c r="E1378" s="34" t="s">
        <v>66</v>
      </c>
      <c r="F1378" s="35">
        <v>166711</v>
      </c>
      <c r="G1378" s="35">
        <v>13670</v>
      </c>
      <c r="H1378" s="36">
        <v>8.2000000000000003E-2</v>
      </c>
      <c r="I1378" s="37">
        <v>1.5</v>
      </c>
      <c r="J1378" s="37">
        <v>20505</v>
      </c>
      <c r="K1378" s="35">
        <v>592</v>
      </c>
      <c r="L1378" s="37">
        <v>34.64</v>
      </c>
      <c r="M1378" s="37">
        <v>43676.76</v>
      </c>
      <c r="N1378" s="38">
        <v>2.13</v>
      </c>
    </row>
    <row r="1379" spans="1:14" x14ac:dyDescent="0.3">
      <c r="A1379" s="33">
        <v>45553</v>
      </c>
      <c r="B1379" s="34" t="s">
        <v>60</v>
      </c>
      <c r="C1379" s="34" t="s">
        <v>67</v>
      </c>
      <c r="D1379" s="34" t="s">
        <v>68</v>
      </c>
      <c r="E1379" s="34" t="s">
        <v>63</v>
      </c>
      <c r="F1379" s="35">
        <v>141501</v>
      </c>
      <c r="G1379" s="35">
        <v>6452</v>
      </c>
      <c r="H1379" s="36">
        <v>4.5600000000000002E-2</v>
      </c>
      <c r="I1379" s="37">
        <v>2.97</v>
      </c>
      <c r="J1379" s="37">
        <v>19162.439999999999</v>
      </c>
      <c r="K1379" s="35">
        <v>193</v>
      </c>
      <c r="L1379" s="37">
        <v>99.29</v>
      </c>
      <c r="M1379" s="37">
        <v>47970.13</v>
      </c>
      <c r="N1379" s="38">
        <v>2.5</v>
      </c>
    </row>
    <row r="1380" spans="1:14" x14ac:dyDescent="0.3">
      <c r="A1380" s="33">
        <v>45381</v>
      </c>
      <c r="B1380" s="34" t="s">
        <v>60</v>
      </c>
      <c r="C1380" s="34" t="s">
        <v>67</v>
      </c>
      <c r="D1380" s="34" t="s">
        <v>62</v>
      </c>
      <c r="E1380" s="34" t="s">
        <v>63</v>
      </c>
      <c r="F1380" s="35">
        <v>81303</v>
      </c>
      <c r="G1380" s="35">
        <v>4154</v>
      </c>
      <c r="H1380" s="36">
        <v>5.11E-2</v>
      </c>
      <c r="I1380" s="37">
        <v>1.95</v>
      </c>
      <c r="J1380" s="37">
        <v>8100.3</v>
      </c>
      <c r="K1380" s="35">
        <v>121</v>
      </c>
      <c r="L1380" s="37">
        <v>66.94</v>
      </c>
      <c r="M1380" s="37">
        <v>35667.19</v>
      </c>
      <c r="N1380" s="38">
        <v>4.4000000000000004</v>
      </c>
    </row>
    <row r="1381" spans="1:14" x14ac:dyDescent="0.3">
      <c r="A1381" s="33">
        <v>45304</v>
      </c>
      <c r="B1381" s="34" t="s">
        <v>64</v>
      </c>
      <c r="C1381" s="34" t="s">
        <v>70</v>
      </c>
      <c r="D1381" s="34" t="s">
        <v>71</v>
      </c>
      <c r="E1381" s="34" t="s">
        <v>77</v>
      </c>
      <c r="F1381" s="35">
        <v>83871</v>
      </c>
      <c r="G1381" s="35">
        <v>6382</v>
      </c>
      <c r="H1381" s="36">
        <v>7.6100000000000001E-2</v>
      </c>
      <c r="I1381" s="37">
        <v>1.05</v>
      </c>
      <c r="J1381" s="37">
        <v>6701.1</v>
      </c>
      <c r="K1381" s="35">
        <v>196</v>
      </c>
      <c r="L1381" s="37">
        <v>34.19</v>
      </c>
      <c r="M1381" s="37">
        <v>31406.57</v>
      </c>
      <c r="N1381" s="38">
        <v>4.6900000000000004</v>
      </c>
    </row>
    <row r="1382" spans="1:14" x14ac:dyDescent="0.3">
      <c r="A1382" s="33">
        <v>45601</v>
      </c>
      <c r="B1382" s="34" t="s">
        <v>74</v>
      </c>
      <c r="C1382" s="34" t="s">
        <v>67</v>
      </c>
      <c r="D1382" s="34" t="s">
        <v>68</v>
      </c>
      <c r="E1382" s="34" t="s">
        <v>72</v>
      </c>
      <c r="F1382" s="35">
        <v>178013</v>
      </c>
      <c r="G1382" s="35">
        <v>1886</v>
      </c>
      <c r="H1382" s="36">
        <v>1.06E-2</v>
      </c>
      <c r="I1382" s="37">
        <v>1.1399999999999999</v>
      </c>
      <c r="J1382" s="37">
        <v>2150.04</v>
      </c>
      <c r="K1382" s="35">
        <v>83</v>
      </c>
      <c r="L1382" s="37">
        <v>25.9</v>
      </c>
      <c r="M1382" s="37">
        <v>22320.49</v>
      </c>
      <c r="N1382" s="38">
        <v>10.38</v>
      </c>
    </row>
    <row r="1383" spans="1:14" x14ac:dyDescent="0.3">
      <c r="A1383" s="33">
        <v>45545</v>
      </c>
      <c r="B1383" s="34" t="s">
        <v>74</v>
      </c>
      <c r="C1383" s="34" t="s">
        <v>61</v>
      </c>
      <c r="D1383" s="34" t="s">
        <v>65</v>
      </c>
      <c r="E1383" s="34" t="s">
        <v>77</v>
      </c>
      <c r="F1383" s="35">
        <v>160341</v>
      </c>
      <c r="G1383" s="35">
        <v>2228</v>
      </c>
      <c r="H1383" s="36">
        <v>1.3899999999999999E-2</v>
      </c>
      <c r="I1383" s="37">
        <v>0.86</v>
      </c>
      <c r="J1383" s="37">
        <v>1916.08</v>
      </c>
      <c r="K1383" s="35">
        <v>70</v>
      </c>
      <c r="L1383" s="37">
        <v>27.37</v>
      </c>
      <c r="M1383" s="37">
        <v>6302.54</v>
      </c>
      <c r="N1383" s="38">
        <v>3.29</v>
      </c>
    </row>
    <row r="1384" spans="1:14" x14ac:dyDescent="0.3">
      <c r="A1384" s="33">
        <v>45458</v>
      </c>
      <c r="B1384" s="34" t="s">
        <v>60</v>
      </c>
      <c r="C1384" s="34" t="s">
        <v>70</v>
      </c>
      <c r="D1384" s="34" t="s">
        <v>76</v>
      </c>
      <c r="E1384" s="34" t="s">
        <v>69</v>
      </c>
      <c r="F1384" s="35">
        <v>138135</v>
      </c>
      <c r="G1384" s="35">
        <v>7721</v>
      </c>
      <c r="H1384" s="36">
        <v>5.5899999999999998E-2</v>
      </c>
      <c r="I1384" s="37">
        <v>1.66</v>
      </c>
      <c r="J1384" s="37">
        <v>12816.86</v>
      </c>
      <c r="K1384" s="35">
        <v>112</v>
      </c>
      <c r="L1384" s="37">
        <v>114.44</v>
      </c>
      <c r="M1384" s="37">
        <v>4652.6000000000004</v>
      </c>
      <c r="N1384" s="38">
        <v>0.36</v>
      </c>
    </row>
    <row r="1385" spans="1:14" x14ac:dyDescent="0.3">
      <c r="A1385" s="33">
        <v>45574</v>
      </c>
      <c r="B1385" s="34" t="s">
        <v>74</v>
      </c>
      <c r="C1385" s="34" t="s">
        <v>75</v>
      </c>
      <c r="D1385" s="34" t="s">
        <v>76</v>
      </c>
      <c r="E1385" s="34" t="s">
        <v>72</v>
      </c>
      <c r="F1385" s="35">
        <v>72500</v>
      </c>
      <c r="G1385" s="35">
        <v>1341</v>
      </c>
      <c r="H1385" s="36">
        <v>1.8499999999999999E-2</v>
      </c>
      <c r="I1385" s="37">
        <v>1.55</v>
      </c>
      <c r="J1385" s="37">
        <v>2078.5500000000002</v>
      </c>
      <c r="K1385" s="35">
        <v>30</v>
      </c>
      <c r="L1385" s="37">
        <v>69.290000000000006</v>
      </c>
      <c r="M1385" s="37">
        <v>5770.13</v>
      </c>
      <c r="N1385" s="38">
        <v>2.78</v>
      </c>
    </row>
    <row r="1386" spans="1:14" x14ac:dyDescent="0.3">
      <c r="A1386" s="33">
        <v>45319</v>
      </c>
      <c r="B1386" s="34" t="s">
        <v>64</v>
      </c>
      <c r="C1386" s="34" t="s">
        <v>75</v>
      </c>
      <c r="D1386" s="34" t="s">
        <v>68</v>
      </c>
      <c r="E1386" s="34" t="s">
        <v>77</v>
      </c>
      <c r="F1386" s="35">
        <v>104626</v>
      </c>
      <c r="G1386" s="35">
        <v>9144</v>
      </c>
      <c r="H1386" s="36">
        <v>8.7400000000000005E-2</v>
      </c>
      <c r="I1386" s="37">
        <v>1.1000000000000001</v>
      </c>
      <c r="J1386" s="37">
        <v>10058.4</v>
      </c>
      <c r="K1386" s="35">
        <v>389</v>
      </c>
      <c r="L1386" s="37">
        <v>25.86</v>
      </c>
      <c r="M1386" s="37">
        <v>83739.39</v>
      </c>
      <c r="N1386" s="38">
        <v>8.33</v>
      </c>
    </row>
    <row r="1387" spans="1:14" x14ac:dyDescent="0.3">
      <c r="A1387" s="33">
        <v>45600</v>
      </c>
      <c r="B1387" s="34" t="s">
        <v>60</v>
      </c>
      <c r="C1387" s="34" t="s">
        <v>70</v>
      </c>
      <c r="D1387" s="34" t="s">
        <v>62</v>
      </c>
      <c r="E1387" s="34" t="s">
        <v>77</v>
      </c>
      <c r="F1387" s="35">
        <v>70107</v>
      </c>
      <c r="G1387" s="35">
        <v>4045</v>
      </c>
      <c r="H1387" s="36">
        <v>5.7700000000000001E-2</v>
      </c>
      <c r="I1387" s="37">
        <v>2.72</v>
      </c>
      <c r="J1387" s="37">
        <v>11002.4</v>
      </c>
      <c r="K1387" s="35">
        <v>203</v>
      </c>
      <c r="L1387" s="37">
        <v>54.2</v>
      </c>
      <c r="M1387" s="37">
        <v>22267.98</v>
      </c>
      <c r="N1387" s="38">
        <v>2.02</v>
      </c>
    </row>
    <row r="1388" spans="1:14" x14ac:dyDescent="0.3">
      <c r="A1388" s="33">
        <v>45344</v>
      </c>
      <c r="B1388" s="34" t="s">
        <v>74</v>
      </c>
      <c r="C1388" s="34" t="s">
        <v>61</v>
      </c>
      <c r="D1388" s="34" t="s">
        <v>65</v>
      </c>
      <c r="E1388" s="34" t="s">
        <v>69</v>
      </c>
      <c r="F1388" s="35">
        <v>63952</v>
      </c>
      <c r="G1388" s="35">
        <v>1451</v>
      </c>
      <c r="H1388" s="36">
        <v>2.2700000000000001E-2</v>
      </c>
      <c r="I1388" s="37">
        <v>2.2400000000000002</v>
      </c>
      <c r="J1388" s="37">
        <v>3250.24</v>
      </c>
      <c r="K1388" s="35">
        <v>86</v>
      </c>
      <c r="L1388" s="37">
        <v>37.79</v>
      </c>
      <c r="M1388" s="37">
        <v>25126.44</v>
      </c>
      <c r="N1388" s="38">
        <v>7.73</v>
      </c>
    </row>
    <row r="1389" spans="1:14" x14ac:dyDescent="0.3">
      <c r="A1389" s="33">
        <v>45387</v>
      </c>
      <c r="B1389" s="34" t="s">
        <v>74</v>
      </c>
      <c r="C1389" s="34" t="s">
        <v>70</v>
      </c>
      <c r="D1389" s="34" t="s">
        <v>76</v>
      </c>
      <c r="E1389" s="34" t="s">
        <v>66</v>
      </c>
      <c r="F1389" s="35">
        <v>43148</v>
      </c>
      <c r="G1389" s="35">
        <v>979</v>
      </c>
      <c r="H1389" s="36">
        <v>2.2700000000000001E-2</v>
      </c>
      <c r="I1389" s="37">
        <v>1.1100000000000001</v>
      </c>
      <c r="J1389" s="37">
        <v>1086.69</v>
      </c>
      <c r="K1389" s="35">
        <v>71</v>
      </c>
      <c r="L1389" s="37">
        <v>15.31</v>
      </c>
      <c r="M1389" s="37">
        <v>7719.69</v>
      </c>
      <c r="N1389" s="38">
        <v>7.1</v>
      </c>
    </row>
    <row r="1390" spans="1:14" x14ac:dyDescent="0.3">
      <c r="A1390" s="33">
        <v>45357</v>
      </c>
      <c r="B1390" s="34" t="s">
        <v>60</v>
      </c>
      <c r="C1390" s="34" t="s">
        <v>70</v>
      </c>
      <c r="D1390" s="34" t="s">
        <v>71</v>
      </c>
      <c r="E1390" s="34" t="s">
        <v>63</v>
      </c>
      <c r="F1390" s="35">
        <v>193326</v>
      </c>
      <c r="G1390" s="35">
        <v>12334</v>
      </c>
      <c r="H1390" s="36">
        <v>6.3799999999999996E-2</v>
      </c>
      <c r="I1390" s="37">
        <v>1.28</v>
      </c>
      <c r="J1390" s="37">
        <v>15787.52</v>
      </c>
      <c r="K1390" s="35">
        <v>715</v>
      </c>
      <c r="L1390" s="37">
        <v>22.08</v>
      </c>
      <c r="M1390" s="37">
        <v>196162.94</v>
      </c>
      <c r="N1390" s="38">
        <v>12.43</v>
      </c>
    </row>
    <row r="1391" spans="1:14" x14ac:dyDescent="0.3">
      <c r="A1391" s="33">
        <v>45313</v>
      </c>
      <c r="B1391" s="34" t="s">
        <v>74</v>
      </c>
      <c r="C1391" s="34" t="s">
        <v>61</v>
      </c>
      <c r="D1391" s="34" t="s">
        <v>62</v>
      </c>
      <c r="E1391" s="34" t="s">
        <v>69</v>
      </c>
      <c r="F1391" s="35">
        <v>80507</v>
      </c>
      <c r="G1391" s="35">
        <v>2318</v>
      </c>
      <c r="H1391" s="36">
        <v>2.8799999999999999E-2</v>
      </c>
      <c r="I1391" s="37">
        <v>0.71</v>
      </c>
      <c r="J1391" s="37">
        <v>1645.78</v>
      </c>
      <c r="K1391" s="35">
        <v>119</v>
      </c>
      <c r="L1391" s="37">
        <v>13.83</v>
      </c>
      <c r="M1391" s="37">
        <v>23887.119999999999</v>
      </c>
      <c r="N1391" s="38">
        <v>14.51</v>
      </c>
    </row>
    <row r="1392" spans="1:14" x14ac:dyDescent="0.3">
      <c r="A1392" s="33">
        <v>45318</v>
      </c>
      <c r="B1392" s="34" t="s">
        <v>74</v>
      </c>
      <c r="C1392" s="34" t="s">
        <v>61</v>
      </c>
      <c r="D1392" s="34" t="s">
        <v>62</v>
      </c>
      <c r="E1392" s="34" t="s">
        <v>73</v>
      </c>
      <c r="F1392" s="35">
        <v>128556</v>
      </c>
      <c r="G1392" s="35">
        <v>4910</v>
      </c>
      <c r="H1392" s="36">
        <v>3.8199999999999998E-2</v>
      </c>
      <c r="I1392" s="37">
        <v>0.88</v>
      </c>
      <c r="J1392" s="37">
        <v>4320.8</v>
      </c>
      <c r="K1392" s="35">
        <v>55</v>
      </c>
      <c r="L1392" s="37">
        <v>78.56</v>
      </c>
      <c r="M1392" s="37">
        <v>10684.27</v>
      </c>
      <c r="N1392" s="38">
        <v>2.4700000000000002</v>
      </c>
    </row>
    <row r="1393" spans="1:14" x14ac:dyDescent="0.3">
      <c r="A1393" s="33">
        <v>45514</v>
      </c>
      <c r="B1393" s="34" t="s">
        <v>74</v>
      </c>
      <c r="C1393" s="34" t="s">
        <v>61</v>
      </c>
      <c r="D1393" s="34" t="s">
        <v>68</v>
      </c>
      <c r="E1393" s="34" t="s">
        <v>66</v>
      </c>
      <c r="F1393" s="35">
        <v>29055</v>
      </c>
      <c r="G1393" s="35">
        <v>912</v>
      </c>
      <c r="H1393" s="36">
        <v>3.1399999999999997E-2</v>
      </c>
      <c r="I1393" s="37">
        <v>1.47</v>
      </c>
      <c r="J1393" s="37">
        <v>1340.64</v>
      </c>
      <c r="K1393" s="35">
        <v>41</v>
      </c>
      <c r="L1393" s="37">
        <v>32.700000000000003</v>
      </c>
      <c r="M1393" s="37">
        <v>6404.23</v>
      </c>
      <c r="N1393" s="38">
        <v>4.78</v>
      </c>
    </row>
    <row r="1394" spans="1:14" x14ac:dyDescent="0.3">
      <c r="A1394" s="33">
        <v>45385</v>
      </c>
      <c r="B1394" s="34" t="s">
        <v>74</v>
      </c>
      <c r="C1394" s="34" t="s">
        <v>67</v>
      </c>
      <c r="D1394" s="34" t="s">
        <v>71</v>
      </c>
      <c r="E1394" s="34" t="s">
        <v>63</v>
      </c>
      <c r="F1394" s="35">
        <v>172517</v>
      </c>
      <c r="G1394" s="35">
        <v>3191</v>
      </c>
      <c r="H1394" s="36">
        <v>1.8499999999999999E-2</v>
      </c>
      <c r="I1394" s="37">
        <v>1.81</v>
      </c>
      <c r="J1394" s="37">
        <v>5775.71</v>
      </c>
      <c r="K1394" s="35">
        <v>96</v>
      </c>
      <c r="L1394" s="37">
        <v>60.16</v>
      </c>
      <c r="M1394" s="37">
        <v>13225.69</v>
      </c>
      <c r="N1394" s="38">
        <v>2.29</v>
      </c>
    </row>
    <row r="1395" spans="1:14" x14ac:dyDescent="0.3">
      <c r="A1395" s="33">
        <v>45309</v>
      </c>
      <c r="B1395" s="34" t="s">
        <v>74</v>
      </c>
      <c r="C1395" s="34" t="s">
        <v>67</v>
      </c>
      <c r="D1395" s="34" t="s">
        <v>62</v>
      </c>
      <c r="E1395" s="34" t="s">
        <v>73</v>
      </c>
      <c r="F1395" s="35">
        <v>84712</v>
      </c>
      <c r="G1395" s="35">
        <v>1473</v>
      </c>
      <c r="H1395" s="36">
        <v>1.7399999999999999E-2</v>
      </c>
      <c r="I1395" s="37">
        <v>2.27</v>
      </c>
      <c r="J1395" s="37">
        <v>3343.71</v>
      </c>
      <c r="K1395" s="35">
        <v>74</v>
      </c>
      <c r="L1395" s="37">
        <v>45.19</v>
      </c>
      <c r="M1395" s="37">
        <v>3310.43</v>
      </c>
      <c r="N1395" s="38">
        <v>0.99</v>
      </c>
    </row>
    <row r="1396" spans="1:14" x14ac:dyDescent="0.3">
      <c r="A1396" s="33">
        <v>45628</v>
      </c>
      <c r="B1396" s="34" t="s">
        <v>60</v>
      </c>
      <c r="C1396" s="34" t="s">
        <v>67</v>
      </c>
      <c r="D1396" s="34" t="s">
        <v>62</v>
      </c>
      <c r="E1396" s="34" t="s">
        <v>77</v>
      </c>
      <c r="F1396" s="35">
        <v>115760</v>
      </c>
      <c r="G1396" s="35">
        <v>2558</v>
      </c>
      <c r="H1396" s="36">
        <v>2.2100000000000002E-2</v>
      </c>
      <c r="I1396" s="37">
        <v>3.19</v>
      </c>
      <c r="J1396" s="37">
        <v>8160.02</v>
      </c>
      <c r="K1396" s="35">
        <v>164</v>
      </c>
      <c r="L1396" s="37">
        <v>49.76</v>
      </c>
      <c r="M1396" s="37">
        <v>37092.550000000003</v>
      </c>
      <c r="N1396" s="38">
        <v>4.55</v>
      </c>
    </row>
    <row r="1397" spans="1:14" x14ac:dyDescent="0.3">
      <c r="A1397" s="33">
        <v>45398</v>
      </c>
      <c r="B1397" s="34" t="s">
        <v>60</v>
      </c>
      <c r="C1397" s="34" t="s">
        <v>61</v>
      </c>
      <c r="D1397" s="34" t="s">
        <v>62</v>
      </c>
      <c r="E1397" s="34" t="s">
        <v>72</v>
      </c>
      <c r="F1397" s="35">
        <v>187831</v>
      </c>
      <c r="G1397" s="35">
        <v>7306</v>
      </c>
      <c r="H1397" s="36">
        <v>3.8899999999999997E-2</v>
      </c>
      <c r="I1397" s="37">
        <v>1.37</v>
      </c>
      <c r="J1397" s="37">
        <v>10009.219999999999</v>
      </c>
      <c r="K1397" s="35">
        <v>321</v>
      </c>
      <c r="L1397" s="37">
        <v>31.18</v>
      </c>
      <c r="M1397" s="37">
        <v>91963.37</v>
      </c>
      <c r="N1397" s="38">
        <v>9.19</v>
      </c>
    </row>
    <row r="1398" spans="1:14" x14ac:dyDescent="0.3">
      <c r="A1398" s="33">
        <v>45309</v>
      </c>
      <c r="B1398" s="34" t="s">
        <v>74</v>
      </c>
      <c r="C1398" s="34" t="s">
        <v>67</v>
      </c>
      <c r="D1398" s="34" t="s">
        <v>62</v>
      </c>
      <c r="E1398" s="34" t="s">
        <v>66</v>
      </c>
      <c r="F1398" s="35">
        <v>72278</v>
      </c>
      <c r="G1398" s="35">
        <v>2421</v>
      </c>
      <c r="H1398" s="36">
        <v>3.3500000000000002E-2</v>
      </c>
      <c r="I1398" s="37">
        <v>1.29</v>
      </c>
      <c r="J1398" s="37">
        <v>3123.09</v>
      </c>
      <c r="K1398" s="35">
        <v>26</v>
      </c>
      <c r="L1398" s="37">
        <v>120.12</v>
      </c>
      <c r="M1398" s="37">
        <v>5625.44</v>
      </c>
      <c r="N1398" s="38">
        <v>1.8</v>
      </c>
    </row>
    <row r="1399" spans="1:14" x14ac:dyDescent="0.3">
      <c r="A1399" s="33">
        <v>45586</v>
      </c>
      <c r="B1399" s="34" t="s">
        <v>60</v>
      </c>
      <c r="C1399" s="34" t="s">
        <v>61</v>
      </c>
      <c r="D1399" s="34" t="s">
        <v>65</v>
      </c>
      <c r="E1399" s="34" t="s">
        <v>69</v>
      </c>
      <c r="F1399" s="35">
        <v>121107</v>
      </c>
      <c r="G1399" s="35">
        <v>3148</v>
      </c>
      <c r="H1399" s="36">
        <v>2.5999999999999999E-2</v>
      </c>
      <c r="I1399" s="37">
        <v>2.39</v>
      </c>
      <c r="J1399" s="37">
        <v>7523.72</v>
      </c>
      <c r="K1399" s="35">
        <v>243</v>
      </c>
      <c r="L1399" s="37">
        <v>30.96</v>
      </c>
      <c r="M1399" s="37">
        <v>33241.31</v>
      </c>
      <c r="N1399" s="38">
        <v>4.42</v>
      </c>
    </row>
    <row r="1400" spans="1:14" x14ac:dyDescent="0.3">
      <c r="A1400" s="33">
        <v>45523</v>
      </c>
      <c r="B1400" s="34" t="s">
        <v>60</v>
      </c>
      <c r="C1400" s="34" t="s">
        <v>70</v>
      </c>
      <c r="D1400" s="34" t="s">
        <v>62</v>
      </c>
      <c r="E1400" s="34" t="s">
        <v>77</v>
      </c>
      <c r="F1400" s="35">
        <v>112930</v>
      </c>
      <c r="G1400" s="35">
        <v>2427</v>
      </c>
      <c r="H1400" s="36">
        <v>2.1499999999999998E-2</v>
      </c>
      <c r="I1400" s="37">
        <v>0.95</v>
      </c>
      <c r="J1400" s="37">
        <v>2305.65</v>
      </c>
      <c r="K1400" s="35">
        <v>53</v>
      </c>
      <c r="L1400" s="37">
        <v>43.5</v>
      </c>
      <c r="M1400" s="37">
        <v>10549.62</v>
      </c>
      <c r="N1400" s="38">
        <v>4.58</v>
      </c>
    </row>
    <row r="1401" spans="1:14" x14ac:dyDescent="0.3">
      <c r="A1401" s="33">
        <v>45640</v>
      </c>
      <c r="B1401" s="34" t="s">
        <v>60</v>
      </c>
      <c r="C1401" s="34" t="s">
        <v>67</v>
      </c>
      <c r="D1401" s="34" t="s">
        <v>71</v>
      </c>
      <c r="E1401" s="34" t="s">
        <v>73</v>
      </c>
      <c r="F1401" s="35">
        <v>94767</v>
      </c>
      <c r="G1401" s="35">
        <v>4662</v>
      </c>
      <c r="H1401" s="36">
        <v>4.9200000000000001E-2</v>
      </c>
      <c r="I1401" s="37">
        <v>2.9</v>
      </c>
      <c r="J1401" s="37">
        <v>13519.8</v>
      </c>
      <c r="K1401" s="35">
        <v>136</v>
      </c>
      <c r="L1401" s="37">
        <v>99.41</v>
      </c>
      <c r="M1401" s="37">
        <v>33757.519999999997</v>
      </c>
      <c r="N1401" s="38">
        <v>2.5</v>
      </c>
    </row>
    <row r="1402" spans="1:14" x14ac:dyDescent="0.3">
      <c r="A1402" s="33">
        <v>45593</v>
      </c>
      <c r="B1402" s="34" t="s">
        <v>64</v>
      </c>
      <c r="C1402" s="34" t="s">
        <v>75</v>
      </c>
      <c r="D1402" s="34" t="s">
        <v>76</v>
      </c>
      <c r="E1402" s="34" t="s">
        <v>77</v>
      </c>
      <c r="F1402" s="35">
        <v>189933</v>
      </c>
      <c r="G1402" s="35">
        <v>13295</v>
      </c>
      <c r="H1402" s="36">
        <v>7.0000000000000007E-2</v>
      </c>
      <c r="I1402" s="37">
        <v>1.03</v>
      </c>
      <c r="J1402" s="37">
        <v>13693.85</v>
      </c>
      <c r="K1402" s="35">
        <v>284</v>
      </c>
      <c r="L1402" s="37">
        <v>48.22</v>
      </c>
      <c r="M1402" s="37">
        <v>45485.98</v>
      </c>
      <c r="N1402" s="38">
        <v>3.32</v>
      </c>
    </row>
    <row r="1403" spans="1:14" x14ac:dyDescent="0.3">
      <c r="A1403" s="33">
        <v>45556</v>
      </c>
      <c r="B1403" s="34" t="s">
        <v>74</v>
      </c>
      <c r="C1403" s="34" t="s">
        <v>70</v>
      </c>
      <c r="D1403" s="34" t="s">
        <v>62</v>
      </c>
      <c r="E1403" s="34" t="s">
        <v>73</v>
      </c>
      <c r="F1403" s="35">
        <v>17281</v>
      </c>
      <c r="G1403" s="35">
        <v>793</v>
      </c>
      <c r="H1403" s="36">
        <v>4.5900000000000003E-2</v>
      </c>
      <c r="I1403" s="37">
        <v>1.18</v>
      </c>
      <c r="J1403" s="37">
        <v>935.74</v>
      </c>
      <c r="K1403" s="35">
        <v>46</v>
      </c>
      <c r="L1403" s="37">
        <v>20.34</v>
      </c>
      <c r="M1403" s="37">
        <v>12594.97</v>
      </c>
      <c r="N1403" s="38">
        <v>13.46</v>
      </c>
    </row>
    <row r="1404" spans="1:14" x14ac:dyDescent="0.3">
      <c r="A1404" s="33">
        <v>45362</v>
      </c>
      <c r="B1404" s="34" t="s">
        <v>60</v>
      </c>
      <c r="C1404" s="34" t="s">
        <v>67</v>
      </c>
      <c r="D1404" s="34" t="s">
        <v>62</v>
      </c>
      <c r="E1404" s="34" t="s">
        <v>66</v>
      </c>
      <c r="F1404" s="35">
        <v>41388</v>
      </c>
      <c r="G1404" s="35">
        <v>964</v>
      </c>
      <c r="H1404" s="36">
        <v>2.3300000000000001E-2</v>
      </c>
      <c r="I1404" s="37">
        <v>3.04</v>
      </c>
      <c r="J1404" s="37">
        <v>2930.56</v>
      </c>
      <c r="K1404" s="35">
        <v>72</v>
      </c>
      <c r="L1404" s="37">
        <v>40.700000000000003</v>
      </c>
      <c r="M1404" s="37">
        <v>19679.400000000001</v>
      </c>
      <c r="N1404" s="38">
        <v>6.72</v>
      </c>
    </row>
    <row r="1405" spans="1:14" x14ac:dyDescent="0.3">
      <c r="A1405" s="33">
        <v>45605</v>
      </c>
      <c r="B1405" s="34" t="s">
        <v>60</v>
      </c>
      <c r="C1405" s="34" t="s">
        <v>70</v>
      </c>
      <c r="D1405" s="34" t="s">
        <v>65</v>
      </c>
      <c r="E1405" s="34" t="s">
        <v>69</v>
      </c>
      <c r="F1405" s="35">
        <v>52083</v>
      </c>
      <c r="G1405" s="35">
        <v>2781</v>
      </c>
      <c r="H1405" s="36">
        <v>5.3400000000000003E-2</v>
      </c>
      <c r="I1405" s="37">
        <v>2.64</v>
      </c>
      <c r="J1405" s="37">
        <v>7341.84</v>
      </c>
      <c r="K1405" s="35">
        <v>160</v>
      </c>
      <c r="L1405" s="37">
        <v>45.89</v>
      </c>
      <c r="M1405" s="37">
        <v>39686.47</v>
      </c>
      <c r="N1405" s="38">
        <v>5.41</v>
      </c>
    </row>
    <row r="1406" spans="1:14" x14ac:dyDescent="0.3">
      <c r="A1406" s="33">
        <v>45628</v>
      </c>
      <c r="B1406" s="34" t="s">
        <v>60</v>
      </c>
      <c r="C1406" s="34" t="s">
        <v>67</v>
      </c>
      <c r="D1406" s="34" t="s">
        <v>76</v>
      </c>
      <c r="E1406" s="34" t="s">
        <v>63</v>
      </c>
      <c r="F1406" s="35">
        <v>110109</v>
      </c>
      <c r="G1406" s="35">
        <v>2378</v>
      </c>
      <c r="H1406" s="36">
        <v>2.1600000000000001E-2</v>
      </c>
      <c r="I1406" s="37">
        <v>3.19</v>
      </c>
      <c r="J1406" s="37">
        <v>7585.82</v>
      </c>
      <c r="K1406" s="35">
        <v>41</v>
      </c>
      <c r="L1406" s="37">
        <v>185.02</v>
      </c>
      <c r="M1406" s="37">
        <v>6931.99</v>
      </c>
      <c r="N1406" s="38">
        <v>0.91</v>
      </c>
    </row>
    <row r="1407" spans="1:14" x14ac:dyDescent="0.3">
      <c r="A1407" s="33">
        <v>45499</v>
      </c>
      <c r="B1407" s="34" t="s">
        <v>64</v>
      </c>
      <c r="C1407" s="34" t="s">
        <v>75</v>
      </c>
      <c r="D1407" s="34" t="s">
        <v>62</v>
      </c>
      <c r="E1407" s="34" t="s">
        <v>73</v>
      </c>
      <c r="F1407" s="35">
        <v>73743</v>
      </c>
      <c r="G1407" s="35">
        <v>1991</v>
      </c>
      <c r="H1407" s="36">
        <v>2.7E-2</v>
      </c>
      <c r="I1407" s="37">
        <v>1.77</v>
      </c>
      <c r="J1407" s="37">
        <v>3524.07</v>
      </c>
      <c r="K1407" s="35">
        <v>155</v>
      </c>
      <c r="L1407" s="37">
        <v>22.74</v>
      </c>
      <c r="M1407" s="37">
        <v>29721.14</v>
      </c>
      <c r="N1407" s="38">
        <v>8.43</v>
      </c>
    </row>
    <row r="1408" spans="1:14" x14ac:dyDescent="0.3">
      <c r="A1408" s="33">
        <v>45501</v>
      </c>
      <c r="B1408" s="34" t="s">
        <v>60</v>
      </c>
      <c r="C1408" s="34" t="s">
        <v>70</v>
      </c>
      <c r="D1408" s="34" t="s">
        <v>68</v>
      </c>
      <c r="E1408" s="34" t="s">
        <v>78</v>
      </c>
      <c r="F1408" s="35">
        <v>79189</v>
      </c>
      <c r="G1408" s="35">
        <v>4315</v>
      </c>
      <c r="H1408" s="36">
        <v>5.45E-2</v>
      </c>
      <c r="I1408" s="37">
        <v>0.92</v>
      </c>
      <c r="J1408" s="37">
        <v>3969.8</v>
      </c>
      <c r="K1408" s="35">
        <v>197</v>
      </c>
      <c r="L1408" s="37">
        <v>20.149999999999999</v>
      </c>
      <c r="M1408" s="37">
        <v>21995.7</v>
      </c>
      <c r="N1408" s="38">
        <v>5.54</v>
      </c>
    </row>
    <row r="1409" spans="1:14" x14ac:dyDescent="0.3">
      <c r="A1409" s="33">
        <v>45639</v>
      </c>
      <c r="B1409" s="34" t="s">
        <v>74</v>
      </c>
      <c r="C1409" s="34" t="s">
        <v>61</v>
      </c>
      <c r="D1409" s="34" t="s">
        <v>62</v>
      </c>
      <c r="E1409" s="34" t="s">
        <v>69</v>
      </c>
      <c r="F1409" s="35">
        <v>179943</v>
      </c>
      <c r="G1409" s="35">
        <v>4174</v>
      </c>
      <c r="H1409" s="36">
        <v>2.3199999999999998E-2</v>
      </c>
      <c r="I1409" s="37">
        <v>2.2000000000000002</v>
      </c>
      <c r="J1409" s="37">
        <v>9182.7999999999993</v>
      </c>
      <c r="K1409" s="35">
        <v>289</v>
      </c>
      <c r="L1409" s="37">
        <v>31.77</v>
      </c>
      <c r="M1409" s="37">
        <v>32129.87</v>
      </c>
      <c r="N1409" s="38">
        <v>3.5</v>
      </c>
    </row>
    <row r="1410" spans="1:14" x14ac:dyDescent="0.3">
      <c r="A1410" s="33">
        <v>45359</v>
      </c>
      <c r="B1410" s="34" t="s">
        <v>60</v>
      </c>
      <c r="C1410" s="34" t="s">
        <v>61</v>
      </c>
      <c r="D1410" s="34" t="s">
        <v>76</v>
      </c>
      <c r="E1410" s="34" t="s">
        <v>73</v>
      </c>
      <c r="F1410" s="35">
        <v>22414</v>
      </c>
      <c r="G1410" s="35">
        <v>472</v>
      </c>
      <c r="H1410" s="36">
        <v>2.1100000000000001E-2</v>
      </c>
      <c r="I1410" s="37">
        <v>2.5099999999999998</v>
      </c>
      <c r="J1410" s="37">
        <v>1184.72</v>
      </c>
      <c r="K1410" s="35">
        <v>34</v>
      </c>
      <c r="L1410" s="37">
        <v>34.840000000000003</v>
      </c>
      <c r="M1410" s="37">
        <v>7160.99</v>
      </c>
      <c r="N1410" s="38">
        <v>6.04</v>
      </c>
    </row>
    <row r="1411" spans="1:14" x14ac:dyDescent="0.3">
      <c r="A1411" s="33">
        <v>45603</v>
      </c>
      <c r="B1411" s="34" t="s">
        <v>74</v>
      </c>
      <c r="C1411" s="34" t="s">
        <v>67</v>
      </c>
      <c r="D1411" s="34" t="s">
        <v>71</v>
      </c>
      <c r="E1411" s="34" t="s">
        <v>78</v>
      </c>
      <c r="F1411" s="35">
        <v>107299</v>
      </c>
      <c r="G1411" s="35">
        <v>2585</v>
      </c>
      <c r="H1411" s="36">
        <v>2.41E-2</v>
      </c>
      <c r="I1411" s="37">
        <v>1.32</v>
      </c>
      <c r="J1411" s="37">
        <v>3412.2</v>
      </c>
      <c r="K1411" s="35">
        <v>110</v>
      </c>
      <c r="L1411" s="37">
        <v>31.02</v>
      </c>
      <c r="M1411" s="37">
        <v>23820.26</v>
      </c>
      <c r="N1411" s="38">
        <v>6.98</v>
      </c>
    </row>
    <row r="1412" spans="1:14" x14ac:dyDescent="0.3">
      <c r="A1412" s="33">
        <v>45385</v>
      </c>
      <c r="B1412" s="34" t="s">
        <v>64</v>
      </c>
      <c r="C1412" s="34" t="s">
        <v>70</v>
      </c>
      <c r="D1412" s="34" t="s">
        <v>71</v>
      </c>
      <c r="E1412" s="34" t="s">
        <v>78</v>
      </c>
      <c r="F1412" s="35">
        <v>68815</v>
      </c>
      <c r="G1412" s="35">
        <v>3172</v>
      </c>
      <c r="H1412" s="36">
        <v>4.6100000000000002E-2</v>
      </c>
      <c r="I1412" s="37">
        <v>0.79</v>
      </c>
      <c r="J1412" s="37">
        <v>2505.88</v>
      </c>
      <c r="K1412" s="35">
        <v>76</v>
      </c>
      <c r="L1412" s="37">
        <v>32.97</v>
      </c>
      <c r="M1412" s="37">
        <v>2602.5700000000002</v>
      </c>
      <c r="N1412" s="38">
        <v>1.04</v>
      </c>
    </row>
    <row r="1413" spans="1:14" x14ac:dyDescent="0.3">
      <c r="A1413" s="33">
        <v>45589</v>
      </c>
      <c r="B1413" s="34" t="s">
        <v>60</v>
      </c>
      <c r="C1413" s="34" t="s">
        <v>75</v>
      </c>
      <c r="D1413" s="34" t="s">
        <v>65</v>
      </c>
      <c r="E1413" s="34" t="s">
        <v>72</v>
      </c>
      <c r="F1413" s="35">
        <v>164457</v>
      </c>
      <c r="G1413" s="35">
        <v>8321</v>
      </c>
      <c r="H1413" s="36">
        <v>5.0599999999999999E-2</v>
      </c>
      <c r="I1413" s="37">
        <v>1.76</v>
      </c>
      <c r="J1413" s="37">
        <v>14644.96</v>
      </c>
      <c r="K1413" s="35">
        <v>610</v>
      </c>
      <c r="L1413" s="37">
        <v>24.01</v>
      </c>
      <c r="M1413" s="37">
        <v>27104.12</v>
      </c>
      <c r="N1413" s="38">
        <v>1.85</v>
      </c>
    </row>
    <row r="1414" spans="1:14" x14ac:dyDescent="0.3">
      <c r="A1414" s="33">
        <v>45613</v>
      </c>
      <c r="B1414" s="34" t="s">
        <v>60</v>
      </c>
      <c r="C1414" s="34" t="s">
        <v>75</v>
      </c>
      <c r="D1414" s="34" t="s">
        <v>76</v>
      </c>
      <c r="E1414" s="34" t="s">
        <v>77</v>
      </c>
      <c r="F1414" s="35">
        <v>105477</v>
      </c>
      <c r="G1414" s="35">
        <v>6391</v>
      </c>
      <c r="H1414" s="36">
        <v>6.0600000000000001E-2</v>
      </c>
      <c r="I1414" s="37">
        <v>1.84</v>
      </c>
      <c r="J1414" s="37">
        <v>11759.44</v>
      </c>
      <c r="K1414" s="35">
        <v>116</v>
      </c>
      <c r="L1414" s="37">
        <v>101.37</v>
      </c>
      <c r="M1414" s="37">
        <v>17001.07</v>
      </c>
      <c r="N1414" s="38">
        <v>1.45</v>
      </c>
    </row>
    <row r="1415" spans="1:14" x14ac:dyDescent="0.3">
      <c r="A1415" s="33">
        <v>45631</v>
      </c>
      <c r="B1415" s="34" t="s">
        <v>60</v>
      </c>
      <c r="C1415" s="34" t="s">
        <v>67</v>
      </c>
      <c r="D1415" s="34" t="s">
        <v>62</v>
      </c>
      <c r="E1415" s="34" t="s">
        <v>66</v>
      </c>
      <c r="F1415" s="35">
        <v>160816</v>
      </c>
      <c r="G1415" s="35">
        <v>9745</v>
      </c>
      <c r="H1415" s="36">
        <v>6.0600000000000001E-2</v>
      </c>
      <c r="I1415" s="37">
        <v>1.22</v>
      </c>
      <c r="J1415" s="37">
        <v>11888.9</v>
      </c>
      <c r="K1415" s="35">
        <v>553</v>
      </c>
      <c r="L1415" s="37">
        <v>21.5</v>
      </c>
      <c r="M1415" s="37">
        <v>62922.41</v>
      </c>
      <c r="N1415" s="38">
        <v>5.29</v>
      </c>
    </row>
    <row r="1416" spans="1:14" x14ac:dyDescent="0.3">
      <c r="A1416" s="33">
        <v>45537</v>
      </c>
      <c r="B1416" s="34" t="s">
        <v>60</v>
      </c>
      <c r="C1416" s="34" t="s">
        <v>75</v>
      </c>
      <c r="D1416" s="34" t="s">
        <v>68</v>
      </c>
      <c r="E1416" s="34" t="s">
        <v>66</v>
      </c>
      <c r="F1416" s="35">
        <v>23904</v>
      </c>
      <c r="G1416" s="35">
        <v>609</v>
      </c>
      <c r="H1416" s="36">
        <v>2.5499999999999998E-2</v>
      </c>
      <c r="I1416" s="37">
        <v>1.66</v>
      </c>
      <c r="J1416" s="37">
        <v>1010.94</v>
      </c>
      <c r="K1416" s="35">
        <v>35</v>
      </c>
      <c r="L1416" s="37">
        <v>28.88</v>
      </c>
      <c r="M1416" s="37">
        <v>7211.31</v>
      </c>
      <c r="N1416" s="38">
        <v>7.13</v>
      </c>
    </row>
    <row r="1417" spans="1:14" x14ac:dyDescent="0.3">
      <c r="A1417" s="33">
        <v>45656</v>
      </c>
      <c r="B1417" s="34" t="s">
        <v>74</v>
      </c>
      <c r="C1417" s="34" t="s">
        <v>75</v>
      </c>
      <c r="D1417" s="34" t="s">
        <v>71</v>
      </c>
      <c r="E1417" s="34" t="s">
        <v>69</v>
      </c>
      <c r="F1417" s="35">
        <v>60448</v>
      </c>
      <c r="G1417" s="35">
        <v>1493</v>
      </c>
      <c r="H1417" s="36">
        <v>2.47E-2</v>
      </c>
      <c r="I1417" s="37">
        <v>2.29</v>
      </c>
      <c r="J1417" s="37">
        <v>3418.97</v>
      </c>
      <c r="K1417" s="35">
        <v>89</v>
      </c>
      <c r="L1417" s="37">
        <v>38.42</v>
      </c>
      <c r="M1417" s="37">
        <v>24577.78</v>
      </c>
      <c r="N1417" s="38">
        <v>7.19</v>
      </c>
    </row>
    <row r="1418" spans="1:14" x14ac:dyDescent="0.3">
      <c r="A1418" s="33">
        <v>45528</v>
      </c>
      <c r="B1418" s="34" t="s">
        <v>64</v>
      </c>
      <c r="C1418" s="34" t="s">
        <v>67</v>
      </c>
      <c r="D1418" s="34" t="s">
        <v>62</v>
      </c>
      <c r="E1418" s="34" t="s">
        <v>63</v>
      </c>
      <c r="F1418" s="35">
        <v>138332</v>
      </c>
      <c r="G1418" s="35">
        <v>9558</v>
      </c>
      <c r="H1418" s="36">
        <v>6.9099999999999995E-2</v>
      </c>
      <c r="I1418" s="37">
        <v>0.35</v>
      </c>
      <c r="J1418" s="37">
        <v>3345.3</v>
      </c>
      <c r="K1418" s="35">
        <v>195</v>
      </c>
      <c r="L1418" s="37">
        <v>17.16</v>
      </c>
      <c r="M1418" s="37">
        <v>26087.06</v>
      </c>
      <c r="N1418" s="38">
        <v>7.8</v>
      </c>
    </row>
    <row r="1419" spans="1:14" x14ac:dyDescent="0.3">
      <c r="A1419" s="33">
        <v>45363</v>
      </c>
      <c r="B1419" s="34" t="s">
        <v>60</v>
      </c>
      <c r="C1419" s="34" t="s">
        <v>67</v>
      </c>
      <c r="D1419" s="34" t="s">
        <v>71</v>
      </c>
      <c r="E1419" s="34" t="s">
        <v>77</v>
      </c>
      <c r="F1419" s="35">
        <v>112399</v>
      </c>
      <c r="G1419" s="35">
        <v>3585</v>
      </c>
      <c r="H1419" s="36">
        <v>3.1899999999999998E-2</v>
      </c>
      <c r="I1419" s="37">
        <v>3.11</v>
      </c>
      <c r="J1419" s="37">
        <v>11149.35</v>
      </c>
      <c r="K1419" s="35">
        <v>91</v>
      </c>
      <c r="L1419" s="37">
        <v>122.52</v>
      </c>
      <c r="M1419" s="37">
        <v>20140.14</v>
      </c>
      <c r="N1419" s="38">
        <v>1.81</v>
      </c>
    </row>
    <row r="1420" spans="1:14" x14ac:dyDescent="0.3">
      <c r="A1420" s="33">
        <v>45338</v>
      </c>
      <c r="B1420" s="34" t="s">
        <v>60</v>
      </c>
      <c r="C1420" s="34" t="s">
        <v>67</v>
      </c>
      <c r="D1420" s="34" t="s">
        <v>76</v>
      </c>
      <c r="E1420" s="34" t="s">
        <v>72</v>
      </c>
      <c r="F1420" s="35">
        <v>180069</v>
      </c>
      <c r="G1420" s="35">
        <v>5780</v>
      </c>
      <c r="H1420" s="36">
        <v>3.2099999999999997E-2</v>
      </c>
      <c r="I1420" s="37">
        <v>1.47</v>
      </c>
      <c r="J1420" s="37">
        <v>8496.6</v>
      </c>
      <c r="K1420" s="35">
        <v>272</v>
      </c>
      <c r="L1420" s="37">
        <v>31.24</v>
      </c>
      <c r="M1420" s="37">
        <v>74348.97</v>
      </c>
      <c r="N1420" s="38">
        <v>8.75</v>
      </c>
    </row>
    <row r="1421" spans="1:14" x14ac:dyDescent="0.3">
      <c r="A1421" s="33">
        <v>45562</v>
      </c>
      <c r="B1421" s="34" t="s">
        <v>74</v>
      </c>
      <c r="C1421" s="34" t="s">
        <v>70</v>
      </c>
      <c r="D1421" s="34" t="s">
        <v>62</v>
      </c>
      <c r="E1421" s="34" t="s">
        <v>69</v>
      </c>
      <c r="F1421" s="35">
        <v>155354</v>
      </c>
      <c r="G1421" s="35">
        <v>3371</v>
      </c>
      <c r="H1421" s="36">
        <v>2.1700000000000001E-2</v>
      </c>
      <c r="I1421" s="37">
        <v>1.27</v>
      </c>
      <c r="J1421" s="37">
        <v>4281.17</v>
      </c>
      <c r="K1421" s="35">
        <v>100</v>
      </c>
      <c r="L1421" s="37">
        <v>42.81</v>
      </c>
      <c r="M1421" s="37">
        <v>7916.95</v>
      </c>
      <c r="N1421" s="38">
        <v>1.85</v>
      </c>
    </row>
    <row r="1422" spans="1:14" x14ac:dyDescent="0.3">
      <c r="A1422" s="33">
        <v>45427</v>
      </c>
      <c r="B1422" s="34" t="s">
        <v>74</v>
      </c>
      <c r="C1422" s="34" t="s">
        <v>70</v>
      </c>
      <c r="D1422" s="34" t="s">
        <v>62</v>
      </c>
      <c r="E1422" s="34" t="s">
        <v>63</v>
      </c>
      <c r="F1422" s="35">
        <v>163564</v>
      </c>
      <c r="G1422" s="35">
        <v>1946</v>
      </c>
      <c r="H1422" s="36">
        <v>1.1900000000000001E-2</v>
      </c>
      <c r="I1422" s="37">
        <v>0.66</v>
      </c>
      <c r="J1422" s="37">
        <v>1284.3599999999999</v>
      </c>
      <c r="K1422" s="35">
        <v>72</v>
      </c>
      <c r="L1422" s="37">
        <v>17.84</v>
      </c>
      <c r="M1422" s="37">
        <v>6787.22</v>
      </c>
      <c r="N1422" s="38">
        <v>5.28</v>
      </c>
    </row>
    <row r="1423" spans="1:14" x14ac:dyDescent="0.3">
      <c r="A1423" s="33">
        <v>45302</v>
      </c>
      <c r="B1423" s="34" t="s">
        <v>64</v>
      </c>
      <c r="C1423" s="34" t="s">
        <v>75</v>
      </c>
      <c r="D1423" s="34" t="s">
        <v>62</v>
      </c>
      <c r="E1423" s="34" t="s">
        <v>66</v>
      </c>
      <c r="F1423" s="35">
        <v>146587</v>
      </c>
      <c r="G1423" s="35">
        <v>5995</v>
      </c>
      <c r="H1423" s="36">
        <v>4.0899999999999999E-2</v>
      </c>
      <c r="I1423" s="37">
        <v>1.52</v>
      </c>
      <c r="J1423" s="37">
        <v>9112.4</v>
      </c>
      <c r="K1423" s="35">
        <v>161</v>
      </c>
      <c r="L1423" s="37">
        <v>56.6</v>
      </c>
      <c r="M1423" s="37">
        <v>27684.26</v>
      </c>
      <c r="N1423" s="38">
        <v>3.04</v>
      </c>
    </row>
    <row r="1424" spans="1:14" x14ac:dyDescent="0.3">
      <c r="A1424" s="33">
        <v>45380</v>
      </c>
      <c r="B1424" s="34" t="s">
        <v>60</v>
      </c>
      <c r="C1424" s="34" t="s">
        <v>75</v>
      </c>
      <c r="D1424" s="34" t="s">
        <v>68</v>
      </c>
      <c r="E1424" s="34" t="s">
        <v>69</v>
      </c>
      <c r="F1424" s="35">
        <v>79843</v>
      </c>
      <c r="G1424" s="35">
        <v>2427</v>
      </c>
      <c r="H1424" s="36">
        <v>3.04E-2</v>
      </c>
      <c r="I1424" s="37">
        <v>1.43</v>
      </c>
      <c r="J1424" s="37">
        <v>3470.61</v>
      </c>
      <c r="K1424" s="35">
        <v>127</v>
      </c>
      <c r="L1424" s="37">
        <v>27.33</v>
      </c>
      <c r="M1424" s="37">
        <v>27833.99</v>
      </c>
      <c r="N1424" s="38">
        <v>8.02</v>
      </c>
    </row>
    <row r="1425" spans="1:14" x14ac:dyDescent="0.3">
      <c r="A1425" s="33">
        <v>45576</v>
      </c>
      <c r="B1425" s="34" t="s">
        <v>74</v>
      </c>
      <c r="C1425" s="34" t="s">
        <v>67</v>
      </c>
      <c r="D1425" s="34" t="s">
        <v>71</v>
      </c>
      <c r="E1425" s="34" t="s">
        <v>73</v>
      </c>
      <c r="F1425" s="35">
        <v>128245</v>
      </c>
      <c r="G1425" s="35">
        <v>2949</v>
      </c>
      <c r="H1425" s="36">
        <v>2.3E-2</v>
      </c>
      <c r="I1425" s="37">
        <v>1.59</v>
      </c>
      <c r="J1425" s="37">
        <v>4688.91</v>
      </c>
      <c r="K1425" s="35">
        <v>85</v>
      </c>
      <c r="L1425" s="37">
        <v>55.16</v>
      </c>
      <c r="M1425" s="37">
        <v>8616.7199999999993</v>
      </c>
      <c r="N1425" s="38">
        <v>1.84</v>
      </c>
    </row>
    <row r="1426" spans="1:14" x14ac:dyDescent="0.3">
      <c r="A1426" s="33">
        <v>45561</v>
      </c>
      <c r="B1426" s="34" t="s">
        <v>60</v>
      </c>
      <c r="C1426" s="34" t="s">
        <v>70</v>
      </c>
      <c r="D1426" s="34" t="s">
        <v>62</v>
      </c>
      <c r="E1426" s="34" t="s">
        <v>78</v>
      </c>
      <c r="F1426" s="35">
        <v>161252</v>
      </c>
      <c r="G1426" s="35">
        <v>8046</v>
      </c>
      <c r="H1426" s="36">
        <v>4.99E-2</v>
      </c>
      <c r="I1426" s="37">
        <v>3.05</v>
      </c>
      <c r="J1426" s="37">
        <v>24540.3</v>
      </c>
      <c r="K1426" s="35">
        <v>550</v>
      </c>
      <c r="L1426" s="37">
        <v>44.62</v>
      </c>
      <c r="M1426" s="37">
        <v>130994.6</v>
      </c>
      <c r="N1426" s="38">
        <v>5.34</v>
      </c>
    </row>
    <row r="1427" spans="1:14" x14ac:dyDescent="0.3">
      <c r="A1427" s="33">
        <v>45315</v>
      </c>
      <c r="B1427" s="34" t="s">
        <v>64</v>
      </c>
      <c r="C1427" s="34" t="s">
        <v>70</v>
      </c>
      <c r="D1427" s="34" t="s">
        <v>71</v>
      </c>
      <c r="E1427" s="34" t="s">
        <v>72</v>
      </c>
      <c r="F1427" s="35">
        <v>107262</v>
      </c>
      <c r="G1427" s="35">
        <v>5127</v>
      </c>
      <c r="H1427" s="36">
        <v>4.7800000000000002E-2</v>
      </c>
      <c r="I1427" s="37">
        <v>1.24</v>
      </c>
      <c r="J1427" s="37">
        <v>6357.48</v>
      </c>
      <c r="K1427" s="35">
        <v>343</v>
      </c>
      <c r="L1427" s="37">
        <v>18.53</v>
      </c>
      <c r="M1427" s="37">
        <v>93405.13</v>
      </c>
      <c r="N1427" s="38">
        <v>14.69</v>
      </c>
    </row>
    <row r="1428" spans="1:14" x14ac:dyDescent="0.3">
      <c r="A1428" s="33">
        <v>45436</v>
      </c>
      <c r="B1428" s="34" t="s">
        <v>74</v>
      </c>
      <c r="C1428" s="34" t="s">
        <v>67</v>
      </c>
      <c r="D1428" s="34" t="s">
        <v>71</v>
      </c>
      <c r="E1428" s="34" t="s">
        <v>72</v>
      </c>
      <c r="F1428" s="35">
        <v>22139</v>
      </c>
      <c r="G1428" s="35">
        <v>458</v>
      </c>
      <c r="H1428" s="36">
        <v>2.07E-2</v>
      </c>
      <c r="I1428" s="37">
        <v>0.43</v>
      </c>
      <c r="J1428" s="37">
        <v>196.94</v>
      </c>
      <c r="K1428" s="35">
        <v>8</v>
      </c>
      <c r="L1428" s="37">
        <v>24.62</v>
      </c>
      <c r="M1428" s="37">
        <v>2367.39</v>
      </c>
      <c r="N1428" s="38">
        <v>12.02</v>
      </c>
    </row>
    <row r="1429" spans="1:14" x14ac:dyDescent="0.3">
      <c r="A1429" s="33">
        <v>45399</v>
      </c>
      <c r="B1429" s="34" t="s">
        <v>74</v>
      </c>
      <c r="C1429" s="34" t="s">
        <v>70</v>
      </c>
      <c r="D1429" s="34" t="s">
        <v>71</v>
      </c>
      <c r="E1429" s="34" t="s">
        <v>77</v>
      </c>
      <c r="F1429" s="35">
        <v>30618</v>
      </c>
      <c r="G1429" s="35">
        <v>719</v>
      </c>
      <c r="H1429" s="36">
        <v>2.35E-2</v>
      </c>
      <c r="I1429" s="37">
        <v>1.27</v>
      </c>
      <c r="J1429" s="37">
        <v>913.13</v>
      </c>
      <c r="K1429" s="35">
        <v>40</v>
      </c>
      <c r="L1429" s="37">
        <v>22.83</v>
      </c>
      <c r="M1429" s="37">
        <v>6289.61</v>
      </c>
      <c r="N1429" s="38">
        <v>6.89</v>
      </c>
    </row>
    <row r="1430" spans="1:14" x14ac:dyDescent="0.3">
      <c r="A1430" s="33">
        <v>45638</v>
      </c>
      <c r="B1430" s="34" t="s">
        <v>60</v>
      </c>
      <c r="C1430" s="34" t="s">
        <v>61</v>
      </c>
      <c r="D1430" s="34" t="s">
        <v>68</v>
      </c>
      <c r="E1430" s="34" t="s">
        <v>73</v>
      </c>
      <c r="F1430" s="35">
        <v>78606</v>
      </c>
      <c r="G1430" s="35">
        <v>3914</v>
      </c>
      <c r="H1430" s="36">
        <v>4.9799999999999997E-2</v>
      </c>
      <c r="I1430" s="37">
        <v>1.23</v>
      </c>
      <c r="J1430" s="37">
        <v>4814.22</v>
      </c>
      <c r="K1430" s="35">
        <v>88</v>
      </c>
      <c r="L1430" s="37">
        <v>54.71</v>
      </c>
      <c r="M1430" s="37">
        <v>6101.96</v>
      </c>
      <c r="N1430" s="38">
        <v>1.27</v>
      </c>
    </row>
    <row r="1431" spans="1:14" x14ac:dyDescent="0.3">
      <c r="A1431" s="33">
        <v>45344</v>
      </c>
      <c r="B1431" s="34" t="s">
        <v>60</v>
      </c>
      <c r="C1431" s="34" t="s">
        <v>75</v>
      </c>
      <c r="D1431" s="34" t="s">
        <v>71</v>
      </c>
      <c r="E1431" s="34" t="s">
        <v>72</v>
      </c>
      <c r="F1431" s="35">
        <v>31885</v>
      </c>
      <c r="G1431" s="35">
        <v>1613</v>
      </c>
      <c r="H1431" s="36">
        <v>5.0599999999999999E-2</v>
      </c>
      <c r="I1431" s="37">
        <v>1.01</v>
      </c>
      <c r="J1431" s="37">
        <v>1629.13</v>
      </c>
      <c r="K1431" s="35">
        <v>67</v>
      </c>
      <c r="L1431" s="37">
        <v>24.32</v>
      </c>
      <c r="M1431" s="37">
        <v>19023.45</v>
      </c>
      <c r="N1431" s="38">
        <v>11.68</v>
      </c>
    </row>
    <row r="1432" spans="1:14" x14ac:dyDescent="0.3">
      <c r="A1432" s="33">
        <v>45522</v>
      </c>
      <c r="B1432" s="34" t="s">
        <v>64</v>
      </c>
      <c r="C1432" s="34" t="s">
        <v>70</v>
      </c>
      <c r="D1432" s="34" t="s">
        <v>65</v>
      </c>
      <c r="E1432" s="34" t="s">
        <v>73</v>
      </c>
      <c r="F1432" s="35">
        <v>11713</v>
      </c>
      <c r="G1432" s="35">
        <v>334</v>
      </c>
      <c r="H1432" s="36">
        <v>2.86E-2</v>
      </c>
      <c r="I1432" s="37">
        <v>1.46</v>
      </c>
      <c r="J1432" s="37">
        <v>487.64</v>
      </c>
      <c r="K1432" s="35">
        <v>13</v>
      </c>
      <c r="L1432" s="37">
        <v>37.51</v>
      </c>
      <c r="M1432" s="37">
        <v>2344.33</v>
      </c>
      <c r="N1432" s="38">
        <v>4.8099999999999996</v>
      </c>
    </row>
    <row r="1433" spans="1:14" x14ac:dyDescent="0.3">
      <c r="A1433" s="33">
        <v>45386</v>
      </c>
      <c r="B1433" s="34" t="s">
        <v>74</v>
      </c>
      <c r="C1433" s="34" t="s">
        <v>70</v>
      </c>
      <c r="D1433" s="34" t="s">
        <v>76</v>
      </c>
      <c r="E1433" s="34" t="s">
        <v>66</v>
      </c>
      <c r="F1433" s="35">
        <v>26637</v>
      </c>
      <c r="G1433" s="35">
        <v>479</v>
      </c>
      <c r="H1433" s="36">
        <v>1.7999999999999999E-2</v>
      </c>
      <c r="I1433" s="37">
        <v>0.83</v>
      </c>
      <c r="J1433" s="37">
        <v>397.57</v>
      </c>
      <c r="K1433" s="35">
        <v>35</v>
      </c>
      <c r="L1433" s="37">
        <v>11.36</v>
      </c>
      <c r="M1433" s="37">
        <v>1488.52</v>
      </c>
      <c r="N1433" s="38">
        <v>3.74</v>
      </c>
    </row>
    <row r="1434" spans="1:14" x14ac:dyDescent="0.3">
      <c r="A1434" s="33">
        <v>45503</v>
      </c>
      <c r="B1434" s="34" t="s">
        <v>60</v>
      </c>
      <c r="C1434" s="34" t="s">
        <v>75</v>
      </c>
      <c r="D1434" s="34" t="s">
        <v>65</v>
      </c>
      <c r="E1434" s="34" t="s">
        <v>77</v>
      </c>
      <c r="F1434" s="35">
        <v>44387</v>
      </c>
      <c r="G1434" s="35">
        <v>1886</v>
      </c>
      <c r="H1434" s="36">
        <v>4.2500000000000003E-2</v>
      </c>
      <c r="I1434" s="37">
        <v>2.81</v>
      </c>
      <c r="J1434" s="37">
        <v>5299.66</v>
      </c>
      <c r="K1434" s="35">
        <v>112</v>
      </c>
      <c r="L1434" s="37">
        <v>47.32</v>
      </c>
      <c r="M1434" s="37">
        <v>16115.2</v>
      </c>
      <c r="N1434" s="38">
        <v>3.04</v>
      </c>
    </row>
    <row r="1435" spans="1:14" x14ac:dyDescent="0.3">
      <c r="A1435" s="33">
        <v>45294</v>
      </c>
      <c r="B1435" s="34" t="s">
        <v>74</v>
      </c>
      <c r="C1435" s="34" t="s">
        <v>61</v>
      </c>
      <c r="D1435" s="34" t="s">
        <v>76</v>
      </c>
      <c r="E1435" s="34" t="s">
        <v>66</v>
      </c>
      <c r="F1435" s="35">
        <v>91392</v>
      </c>
      <c r="G1435" s="35">
        <v>2705</v>
      </c>
      <c r="H1435" s="36">
        <v>2.9600000000000001E-2</v>
      </c>
      <c r="I1435" s="37">
        <v>2.04</v>
      </c>
      <c r="J1435" s="37">
        <v>5518.2</v>
      </c>
      <c r="K1435" s="35">
        <v>87</v>
      </c>
      <c r="L1435" s="37">
        <v>63.43</v>
      </c>
      <c r="M1435" s="37">
        <v>12147.08</v>
      </c>
      <c r="N1435" s="38">
        <v>2.2000000000000002</v>
      </c>
    </row>
    <row r="1436" spans="1:14" x14ac:dyDescent="0.3">
      <c r="A1436" s="33">
        <v>45559</v>
      </c>
      <c r="B1436" s="34" t="s">
        <v>64</v>
      </c>
      <c r="C1436" s="34" t="s">
        <v>61</v>
      </c>
      <c r="D1436" s="34" t="s">
        <v>65</v>
      </c>
      <c r="E1436" s="34" t="s">
        <v>66</v>
      </c>
      <c r="F1436" s="35">
        <v>31727</v>
      </c>
      <c r="G1436" s="35">
        <v>2233</v>
      </c>
      <c r="H1436" s="36">
        <v>7.0400000000000004E-2</v>
      </c>
      <c r="I1436" s="37">
        <v>0.46</v>
      </c>
      <c r="J1436" s="37">
        <v>1027.18</v>
      </c>
      <c r="K1436" s="35">
        <v>74</v>
      </c>
      <c r="L1436" s="37">
        <v>13.88</v>
      </c>
      <c r="M1436" s="37">
        <v>9946.57</v>
      </c>
      <c r="N1436" s="38">
        <v>9.68</v>
      </c>
    </row>
    <row r="1437" spans="1:14" x14ac:dyDescent="0.3">
      <c r="A1437" s="33">
        <v>45527</v>
      </c>
      <c r="B1437" s="34" t="s">
        <v>74</v>
      </c>
      <c r="C1437" s="34" t="s">
        <v>70</v>
      </c>
      <c r="D1437" s="34" t="s">
        <v>71</v>
      </c>
      <c r="E1437" s="34" t="s">
        <v>72</v>
      </c>
      <c r="F1437" s="35">
        <v>154676</v>
      </c>
      <c r="G1437" s="35">
        <v>1624</v>
      </c>
      <c r="H1437" s="36">
        <v>1.0500000000000001E-2</v>
      </c>
      <c r="I1437" s="37">
        <v>1.69</v>
      </c>
      <c r="J1437" s="37">
        <v>2744.56</v>
      </c>
      <c r="K1437" s="35">
        <v>26</v>
      </c>
      <c r="L1437" s="37">
        <v>105.56</v>
      </c>
      <c r="M1437" s="37">
        <v>1813.36</v>
      </c>
      <c r="N1437" s="38">
        <v>0.66</v>
      </c>
    </row>
    <row r="1438" spans="1:14" x14ac:dyDescent="0.3">
      <c r="A1438" s="33">
        <v>45518</v>
      </c>
      <c r="B1438" s="34" t="s">
        <v>74</v>
      </c>
      <c r="C1438" s="34" t="s">
        <v>70</v>
      </c>
      <c r="D1438" s="34" t="s">
        <v>76</v>
      </c>
      <c r="E1438" s="34" t="s">
        <v>66</v>
      </c>
      <c r="F1438" s="35">
        <v>122710</v>
      </c>
      <c r="G1438" s="35">
        <v>5129</v>
      </c>
      <c r="H1438" s="36">
        <v>4.1799999999999997E-2</v>
      </c>
      <c r="I1438" s="37">
        <v>1.02</v>
      </c>
      <c r="J1438" s="37">
        <v>5231.58</v>
      </c>
      <c r="K1438" s="35">
        <v>157</v>
      </c>
      <c r="L1438" s="37">
        <v>33.32</v>
      </c>
      <c r="M1438" s="37">
        <v>24344.87</v>
      </c>
      <c r="N1438" s="38">
        <v>4.6500000000000004</v>
      </c>
    </row>
    <row r="1439" spans="1:14" x14ac:dyDescent="0.3">
      <c r="A1439" s="33">
        <v>45648</v>
      </c>
      <c r="B1439" s="34" t="s">
        <v>64</v>
      </c>
      <c r="C1439" s="34" t="s">
        <v>61</v>
      </c>
      <c r="D1439" s="34" t="s">
        <v>65</v>
      </c>
      <c r="E1439" s="34" t="s">
        <v>73</v>
      </c>
      <c r="F1439" s="35">
        <v>194117</v>
      </c>
      <c r="G1439" s="35">
        <v>16422</v>
      </c>
      <c r="H1439" s="36">
        <v>8.4599999999999995E-2</v>
      </c>
      <c r="I1439" s="37">
        <v>1.33</v>
      </c>
      <c r="J1439" s="37">
        <v>21841.26</v>
      </c>
      <c r="K1439" s="35">
        <v>1133</v>
      </c>
      <c r="L1439" s="37">
        <v>19.28</v>
      </c>
      <c r="M1439" s="37">
        <v>121361.12</v>
      </c>
      <c r="N1439" s="38">
        <v>5.56</v>
      </c>
    </row>
    <row r="1440" spans="1:14" x14ac:dyDescent="0.3">
      <c r="A1440" s="33">
        <v>45325</v>
      </c>
      <c r="B1440" s="34" t="s">
        <v>64</v>
      </c>
      <c r="C1440" s="34" t="s">
        <v>70</v>
      </c>
      <c r="D1440" s="34" t="s">
        <v>68</v>
      </c>
      <c r="E1440" s="34" t="s">
        <v>78</v>
      </c>
      <c r="F1440" s="35">
        <v>23043</v>
      </c>
      <c r="G1440" s="35">
        <v>1534</v>
      </c>
      <c r="H1440" s="36">
        <v>6.6600000000000006E-2</v>
      </c>
      <c r="I1440" s="37">
        <v>1.36</v>
      </c>
      <c r="J1440" s="37">
        <v>2086.2399999999998</v>
      </c>
      <c r="K1440" s="35">
        <v>119</v>
      </c>
      <c r="L1440" s="37">
        <v>17.53</v>
      </c>
      <c r="M1440" s="37">
        <v>6284.67</v>
      </c>
      <c r="N1440" s="38">
        <v>3.01</v>
      </c>
    </row>
    <row r="1441" spans="1:14" x14ac:dyDescent="0.3">
      <c r="A1441" s="33">
        <v>45345</v>
      </c>
      <c r="B1441" s="34" t="s">
        <v>60</v>
      </c>
      <c r="C1441" s="34" t="s">
        <v>61</v>
      </c>
      <c r="D1441" s="34" t="s">
        <v>62</v>
      </c>
      <c r="E1441" s="34" t="s">
        <v>69</v>
      </c>
      <c r="F1441" s="35">
        <v>21198</v>
      </c>
      <c r="G1441" s="35">
        <v>703</v>
      </c>
      <c r="H1441" s="36">
        <v>3.32E-2</v>
      </c>
      <c r="I1441" s="37">
        <v>1.96</v>
      </c>
      <c r="J1441" s="37">
        <v>1377.88</v>
      </c>
      <c r="K1441" s="35">
        <v>28</v>
      </c>
      <c r="L1441" s="37">
        <v>49.21</v>
      </c>
      <c r="M1441" s="37">
        <v>6226.83</v>
      </c>
      <c r="N1441" s="38">
        <v>4.5199999999999996</v>
      </c>
    </row>
    <row r="1442" spans="1:14" x14ac:dyDescent="0.3">
      <c r="A1442" s="33">
        <v>45463</v>
      </c>
      <c r="B1442" s="34" t="s">
        <v>74</v>
      </c>
      <c r="C1442" s="34" t="s">
        <v>75</v>
      </c>
      <c r="D1442" s="34" t="s">
        <v>68</v>
      </c>
      <c r="E1442" s="34" t="s">
        <v>77</v>
      </c>
      <c r="F1442" s="35">
        <v>132208</v>
      </c>
      <c r="G1442" s="35">
        <v>3133</v>
      </c>
      <c r="H1442" s="36">
        <v>2.3699999999999999E-2</v>
      </c>
      <c r="I1442" s="37">
        <v>1.57</v>
      </c>
      <c r="J1442" s="37">
        <v>4918.8100000000004</v>
      </c>
      <c r="K1442" s="35">
        <v>183</v>
      </c>
      <c r="L1442" s="37">
        <v>26.88</v>
      </c>
      <c r="M1442" s="37">
        <v>53669.78</v>
      </c>
      <c r="N1442" s="38">
        <v>10.91</v>
      </c>
    </row>
    <row r="1443" spans="1:14" x14ac:dyDescent="0.3">
      <c r="A1443" s="33">
        <v>45338</v>
      </c>
      <c r="B1443" s="34" t="s">
        <v>74</v>
      </c>
      <c r="C1443" s="34" t="s">
        <v>70</v>
      </c>
      <c r="D1443" s="34" t="s">
        <v>62</v>
      </c>
      <c r="E1443" s="34" t="s">
        <v>77</v>
      </c>
      <c r="F1443" s="35">
        <v>19040</v>
      </c>
      <c r="G1443" s="35">
        <v>784</v>
      </c>
      <c r="H1443" s="36">
        <v>4.1200000000000001E-2</v>
      </c>
      <c r="I1443" s="37">
        <v>1.93</v>
      </c>
      <c r="J1443" s="37">
        <v>1513.12</v>
      </c>
      <c r="K1443" s="35">
        <v>39</v>
      </c>
      <c r="L1443" s="37">
        <v>38.799999999999997</v>
      </c>
      <c r="M1443" s="37">
        <v>5591.9</v>
      </c>
      <c r="N1443" s="38">
        <v>3.7</v>
      </c>
    </row>
    <row r="1444" spans="1:14" x14ac:dyDescent="0.3">
      <c r="A1444" s="33">
        <v>45366</v>
      </c>
      <c r="B1444" s="34" t="s">
        <v>60</v>
      </c>
      <c r="C1444" s="34" t="s">
        <v>75</v>
      </c>
      <c r="D1444" s="34" t="s">
        <v>68</v>
      </c>
      <c r="E1444" s="34" t="s">
        <v>77</v>
      </c>
      <c r="F1444" s="35">
        <v>157270</v>
      </c>
      <c r="G1444" s="35">
        <v>5535</v>
      </c>
      <c r="H1444" s="36">
        <v>3.5200000000000002E-2</v>
      </c>
      <c r="I1444" s="37">
        <v>1</v>
      </c>
      <c r="J1444" s="37">
        <v>5535</v>
      </c>
      <c r="K1444" s="35">
        <v>356</v>
      </c>
      <c r="L1444" s="37">
        <v>15.55</v>
      </c>
      <c r="M1444" s="37">
        <v>86412.59</v>
      </c>
      <c r="N1444" s="38">
        <v>15.61</v>
      </c>
    </row>
    <row r="1445" spans="1:14" x14ac:dyDescent="0.3">
      <c r="A1445" s="33">
        <v>45298</v>
      </c>
      <c r="B1445" s="34" t="s">
        <v>60</v>
      </c>
      <c r="C1445" s="34" t="s">
        <v>67</v>
      </c>
      <c r="D1445" s="34" t="s">
        <v>76</v>
      </c>
      <c r="E1445" s="34" t="s">
        <v>66</v>
      </c>
      <c r="F1445" s="35">
        <v>33433</v>
      </c>
      <c r="G1445" s="35">
        <v>1698</v>
      </c>
      <c r="H1445" s="36">
        <v>5.0799999999999998E-2</v>
      </c>
      <c r="I1445" s="37">
        <v>2.93</v>
      </c>
      <c r="J1445" s="37">
        <v>4975.1400000000003</v>
      </c>
      <c r="K1445" s="35">
        <v>60</v>
      </c>
      <c r="L1445" s="37">
        <v>82.92</v>
      </c>
      <c r="M1445" s="37">
        <v>4216.8100000000004</v>
      </c>
      <c r="N1445" s="38">
        <v>0.85</v>
      </c>
    </row>
    <row r="1446" spans="1:14" x14ac:dyDescent="0.3">
      <c r="A1446" s="33">
        <v>45378</v>
      </c>
      <c r="B1446" s="34" t="s">
        <v>74</v>
      </c>
      <c r="C1446" s="34" t="s">
        <v>67</v>
      </c>
      <c r="D1446" s="34" t="s">
        <v>62</v>
      </c>
      <c r="E1446" s="34" t="s">
        <v>72</v>
      </c>
      <c r="F1446" s="35">
        <v>94786</v>
      </c>
      <c r="G1446" s="35">
        <v>2682</v>
      </c>
      <c r="H1446" s="36">
        <v>2.8299999999999999E-2</v>
      </c>
      <c r="I1446" s="37">
        <v>1.5</v>
      </c>
      <c r="J1446" s="37">
        <v>4023</v>
      </c>
      <c r="K1446" s="35">
        <v>155</v>
      </c>
      <c r="L1446" s="37">
        <v>25.95</v>
      </c>
      <c r="M1446" s="37">
        <v>6510.51</v>
      </c>
      <c r="N1446" s="38">
        <v>1.62</v>
      </c>
    </row>
    <row r="1447" spans="1:14" x14ac:dyDescent="0.3">
      <c r="A1447" s="33">
        <v>45407</v>
      </c>
      <c r="B1447" s="34" t="s">
        <v>74</v>
      </c>
      <c r="C1447" s="34" t="s">
        <v>75</v>
      </c>
      <c r="D1447" s="34" t="s">
        <v>76</v>
      </c>
      <c r="E1447" s="34" t="s">
        <v>78</v>
      </c>
      <c r="F1447" s="35">
        <v>144895</v>
      </c>
      <c r="G1447" s="35">
        <v>2158</v>
      </c>
      <c r="H1447" s="36">
        <v>1.49E-2</v>
      </c>
      <c r="I1447" s="37">
        <v>1.92</v>
      </c>
      <c r="J1447" s="37">
        <v>4143.3599999999997</v>
      </c>
      <c r="K1447" s="35">
        <v>151</v>
      </c>
      <c r="L1447" s="37">
        <v>27.44</v>
      </c>
      <c r="M1447" s="37">
        <v>25541.81</v>
      </c>
      <c r="N1447" s="38">
        <v>6.16</v>
      </c>
    </row>
    <row r="1448" spans="1:14" x14ac:dyDescent="0.3">
      <c r="A1448" s="33">
        <v>45636</v>
      </c>
      <c r="B1448" s="34" t="s">
        <v>74</v>
      </c>
      <c r="C1448" s="34" t="s">
        <v>75</v>
      </c>
      <c r="D1448" s="34" t="s">
        <v>62</v>
      </c>
      <c r="E1448" s="34" t="s">
        <v>72</v>
      </c>
      <c r="F1448" s="35">
        <v>57996</v>
      </c>
      <c r="G1448" s="35">
        <v>1705</v>
      </c>
      <c r="H1448" s="36">
        <v>2.9399999999999999E-2</v>
      </c>
      <c r="I1448" s="37">
        <v>2.04</v>
      </c>
      <c r="J1448" s="37">
        <v>3478.2</v>
      </c>
      <c r="K1448" s="35">
        <v>127</v>
      </c>
      <c r="L1448" s="37">
        <v>27.39</v>
      </c>
      <c r="M1448" s="37">
        <v>26935.06</v>
      </c>
      <c r="N1448" s="38">
        <v>7.74</v>
      </c>
    </row>
    <row r="1449" spans="1:14" x14ac:dyDescent="0.3">
      <c r="A1449" s="33">
        <v>45537</v>
      </c>
      <c r="B1449" s="34" t="s">
        <v>60</v>
      </c>
      <c r="C1449" s="34" t="s">
        <v>70</v>
      </c>
      <c r="D1449" s="34" t="s">
        <v>68</v>
      </c>
      <c r="E1449" s="34" t="s">
        <v>73</v>
      </c>
      <c r="F1449" s="35">
        <v>154631</v>
      </c>
      <c r="G1449" s="35">
        <v>4793</v>
      </c>
      <c r="H1449" s="36">
        <v>3.1E-2</v>
      </c>
      <c r="I1449" s="37">
        <v>3.14</v>
      </c>
      <c r="J1449" s="37">
        <v>15050.02</v>
      </c>
      <c r="K1449" s="35">
        <v>155</v>
      </c>
      <c r="L1449" s="37">
        <v>97.1</v>
      </c>
      <c r="M1449" s="37">
        <v>15403.3</v>
      </c>
      <c r="N1449" s="38">
        <v>1.02</v>
      </c>
    </row>
    <row r="1450" spans="1:14" x14ac:dyDescent="0.3">
      <c r="A1450" s="33">
        <v>45350</v>
      </c>
      <c r="B1450" s="34" t="s">
        <v>74</v>
      </c>
      <c r="C1450" s="34" t="s">
        <v>67</v>
      </c>
      <c r="D1450" s="34" t="s">
        <v>71</v>
      </c>
      <c r="E1450" s="34" t="s">
        <v>72</v>
      </c>
      <c r="F1450" s="35">
        <v>56209</v>
      </c>
      <c r="G1450" s="35">
        <v>1405</v>
      </c>
      <c r="H1450" s="36">
        <v>2.5000000000000001E-2</v>
      </c>
      <c r="I1450" s="37">
        <v>2.39</v>
      </c>
      <c r="J1450" s="37">
        <v>3357.95</v>
      </c>
      <c r="K1450" s="35">
        <v>94</v>
      </c>
      <c r="L1450" s="37">
        <v>35.72</v>
      </c>
      <c r="M1450" s="37">
        <v>20195.05</v>
      </c>
      <c r="N1450" s="38">
        <v>6.01</v>
      </c>
    </row>
    <row r="1451" spans="1:14" x14ac:dyDescent="0.3">
      <c r="A1451" s="33">
        <v>45479</v>
      </c>
      <c r="B1451" s="34" t="s">
        <v>64</v>
      </c>
      <c r="C1451" s="34" t="s">
        <v>67</v>
      </c>
      <c r="D1451" s="34" t="s">
        <v>71</v>
      </c>
      <c r="E1451" s="34" t="s">
        <v>73</v>
      </c>
      <c r="F1451" s="35">
        <v>187411</v>
      </c>
      <c r="G1451" s="35">
        <v>15667</v>
      </c>
      <c r="H1451" s="36">
        <v>8.3599999999999994E-2</v>
      </c>
      <c r="I1451" s="37">
        <v>0.43</v>
      </c>
      <c r="J1451" s="37">
        <v>6736.81</v>
      </c>
      <c r="K1451" s="35">
        <v>996</v>
      </c>
      <c r="L1451" s="37">
        <v>6.76</v>
      </c>
      <c r="M1451" s="37">
        <v>51799.95</v>
      </c>
      <c r="N1451" s="38">
        <v>7.69</v>
      </c>
    </row>
    <row r="1452" spans="1:14" x14ac:dyDescent="0.3">
      <c r="A1452" s="33">
        <v>45545</v>
      </c>
      <c r="B1452" s="34" t="s">
        <v>60</v>
      </c>
      <c r="C1452" s="34" t="s">
        <v>67</v>
      </c>
      <c r="D1452" s="34" t="s">
        <v>62</v>
      </c>
      <c r="E1452" s="34" t="s">
        <v>77</v>
      </c>
      <c r="F1452" s="35">
        <v>46583</v>
      </c>
      <c r="G1452" s="35">
        <v>2319</v>
      </c>
      <c r="H1452" s="36">
        <v>4.9799999999999997E-2</v>
      </c>
      <c r="I1452" s="37">
        <v>2.76</v>
      </c>
      <c r="J1452" s="37">
        <v>6400.44</v>
      </c>
      <c r="K1452" s="35">
        <v>50</v>
      </c>
      <c r="L1452" s="37">
        <v>128.01</v>
      </c>
      <c r="M1452" s="37">
        <v>11413.39</v>
      </c>
      <c r="N1452" s="38">
        <v>1.78</v>
      </c>
    </row>
    <row r="1453" spans="1:14" x14ac:dyDescent="0.3">
      <c r="A1453" s="33">
        <v>45360</v>
      </c>
      <c r="B1453" s="34" t="s">
        <v>74</v>
      </c>
      <c r="C1453" s="34" t="s">
        <v>75</v>
      </c>
      <c r="D1453" s="34" t="s">
        <v>76</v>
      </c>
      <c r="E1453" s="34" t="s">
        <v>73</v>
      </c>
      <c r="F1453" s="35">
        <v>17438</v>
      </c>
      <c r="G1453" s="35">
        <v>371</v>
      </c>
      <c r="H1453" s="36">
        <v>2.1299999999999999E-2</v>
      </c>
      <c r="I1453" s="37">
        <v>1.63</v>
      </c>
      <c r="J1453" s="37">
        <v>604.73</v>
      </c>
      <c r="K1453" s="35">
        <v>19</v>
      </c>
      <c r="L1453" s="37">
        <v>31.83</v>
      </c>
      <c r="M1453" s="37">
        <v>902.7</v>
      </c>
      <c r="N1453" s="38">
        <v>1.49</v>
      </c>
    </row>
    <row r="1454" spans="1:14" x14ac:dyDescent="0.3">
      <c r="A1454" s="33">
        <v>45362</v>
      </c>
      <c r="B1454" s="34" t="s">
        <v>60</v>
      </c>
      <c r="C1454" s="34" t="s">
        <v>67</v>
      </c>
      <c r="D1454" s="34" t="s">
        <v>71</v>
      </c>
      <c r="E1454" s="34" t="s">
        <v>63</v>
      </c>
      <c r="F1454" s="35">
        <v>122784</v>
      </c>
      <c r="G1454" s="35">
        <v>6237</v>
      </c>
      <c r="H1454" s="36">
        <v>5.0799999999999998E-2</v>
      </c>
      <c r="I1454" s="37">
        <v>2.69</v>
      </c>
      <c r="J1454" s="37">
        <v>16777.53</v>
      </c>
      <c r="K1454" s="35">
        <v>134</v>
      </c>
      <c r="L1454" s="37">
        <v>125.21</v>
      </c>
      <c r="M1454" s="37">
        <v>15407.61</v>
      </c>
      <c r="N1454" s="38">
        <v>0.92</v>
      </c>
    </row>
    <row r="1455" spans="1:14" x14ac:dyDescent="0.3">
      <c r="A1455" s="33">
        <v>45543</v>
      </c>
      <c r="B1455" s="34" t="s">
        <v>74</v>
      </c>
      <c r="C1455" s="34" t="s">
        <v>70</v>
      </c>
      <c r="D1455" s="34" t="s">
        <v>65</v>
      </c>
      <c r="E1455" s="34" t="s">
        <v>72</v>
      </c>
      <c r="F1455" s="35">
        <v>151730</v>
      </c>
      <c r="G1455" s="35">
        <v>2063</v>
      </c>
      <c r="H1455" s="36">
        <v>1.3599999999999999E-2</v>
      </c>
      <c r="I1455" s="37">
        <v>0.74</v>
      </c>
      <c r="J1455" s="37">
        <v>1526.62</v>
      </c>
      <c r="K1455" s="35">
        <v>32</v>
      </c>
      <c r="L1455" s="37">
        <v>47.71</v>
      </c>
      <c r="M1455" s="37">
        <v>6146.93</v>
      </c>
      <c r="N1455" s="38">
        <v>4.03</v>
      </c>
    </row>
    <row r="1456" spans="1:14" x14ac:dyDescent="0.3">
      <c r="A1456" s="33">
        <v>45524</v>
      </c>
      <c r="B1456" s="34" t="s">
        <v>60</v>
      </c>
      <c r="C1456" s="34" t="s">
        <v>61</v>
      </c>
      <c r="D1456" s="34" t="s">
        <v>62</v>
      </c>
      <c r="E1456" s="34" t="s">
        <v>77</v>
      </c>
      <c r="F1456" s="35">
        <v>83498</v>
      </c>
      <c r="G1456" s="35">
        <v>3531</v>
      </c>
      <c r="H1456" s="36">
        <v>4.2299999999999997E-2</v>
      </c>
      <c r="I1456" s="37">
        <v>1.03</v>
      </c>
      <c r="J1456" s="37">
        <v>3636.93</v>
      </c>
      <c r="K1456" s="35">
        <v>234</v>
      </c>
      <c r="L1456" s="37">
        <v>15.54</v>
      </c>
      <c r="M1456" s="37">
        <v>36561.1</v>
      </c>
      <c r="N1456" s="38">
        <v>10.050000000000001</v>
      </c>
    </row>
    <row r="1457" spans="1:14" x14ac:dyDescent="0.3">
      <c r="A1457" s="33">
        <v>45586</v>
      </c>
      <c r="B1457" s="34" t="s">
        <v>64</v>
      </c>
      <c r="C1457" s="34" t="s">
        <v>70</v>
      </c>
      <c r="D1457" s="34" t="s">
        <v>62</v>
      </c>
      <c r="E1457" s="34" t="s">
        <v>66</v>
      </c>
      <c r="F1457" s="35">
        <v>194060</v>
      </c>
      <c r="G1457" s="35">
        <v>11721</v>
      </c>
      <c r="H1457" s="36">
        <v>6.0400000000000002E-2</v>
      </c>
      <c r="I1457" s="37">
        <v>1.73</v>
      </c>
      <c r="J1457" s="37">
        <v>20277.330000000002</v>
      </c>
      <c r="K1457" s="35">
        <v>504</v>
      </c>
      <c r="L1457" s="37">
        <v>40.229999999999997</v>
      </c>
      <c r="M1457" s="37">
        <v>76238.77</v>
      </c>
      <c r="N1457" s="38">
        <v>3.76</v>
      </c>
    </row>
    <row r="1458" spans="1:14" x14ac:dyDescent="0.3">
      <c r="A1458" s="33">
        <v>45368</v>
      </c>
      <c r="B1458" s="34" t="s">
        <v>60</v>
      </c>
      <c r="C1458" s="34" t="s">
        <v>70</v>
      </c>
      <c r="D1458" s="34" t="s">
        <v>76</v>
      </c>
      <c r="E1458" s="34" t="s">
        <v>72</v>
      </c>
      <c r="F1458" s="35">
        <v>30118</v>
      </c>
      <c r="G1458" s="35">
        <v>951</v>
      </c>
      <c r="H1458" s="36">
        <v>3.1600000000000003E-2</v>
      </c>
      <c r="I1458" s="37">
        <v>3.28</v>
      </c>
      <c r="J1458" s="37">
        <v>3119.28</v>
      </c>
      <c r="K1458" s="35">
        <v>30</v>
      </c>
      <c r="L1458" s="37">
        <v>103.98</v>
      </c>
      <c r="M1458" s="37">
        <v>2408.7600000000002</v>
      </c>
      <c r="N1458" s="38">
        <v>0.77</v>
      </c>
    </row>
    <row r="1459" spans="1:14" x14ac:dyDescent="0.3">
      <c r="A1459" s="33">
        <v>45356</v>
      </c>
      <c r="B1459" s="34" t="s">
        <v>74</v>
      </c>
      <c r="C1459" s="34" t="s">
        <v>61</v>
      </c>
      <c r="D1459" s="34" t="s">
        <v>68</v>
      </c>
      <c r="E1459" s="34" t="s">
        <v>69</v>
      </c>
      <c r="F1459" s="35">
        <v>88904</v>
      </c>
      <c r="G1459" s="35">
        <v>1724</v>
      </c>
      <c r="H1459" s="36">
        <v>1.9400000000000001E-2</v>
      </c>
      <c r="I1459" s="37">
        <v>1</v>
      </c>
      <c r="J1459" s="37">
        <v>1724</v>
      </c>
      <c r="K1459" s="35">
        <v>59</v>
      </c>
      <c r="L1459" s="37">
        <v>29.22</v>
      </c>
      <c r="M1459" s="37">
        <v>8894.16</v>
      </c>
      <c r="N1459" s="38">
        <v>5.16</v>
      </c>
    </row>
    <row r="1460" spans="1:14" x14ac:dyDescent="0.3">
      <c r="A1460" s="33">
        <v>45644</v>
      </c>
      <c r="B1460" s="34" t="s">
        <v>60</v>
      </c>
      <c r="C1460" s="34" t="s">
        <v>75</v>
      </c>
      <c r="D1460" s="34" t="s">
        <v>68</v>
      </c>
      <c r="E1460" s="34" t="s">
        <v>78</v>
      </c>
      <c r="F1460" s="35">
        <v>119911</v>
      </c>
      <c r="G1460" s="35">
        <v>4592</v>
      </c>
      <c r="H1460" s="36">
        <v>3.8300000000000001E-2</v>
      </c>
      <c r="I1460" s="37">
        <v>2.83</v>
      </c>
      <c r="J1460" s="37">
        <v>12995.36</v>
      </c>
      <c r="K1460" s="35">
        <v>163</v>
      </c>
      <c r="L1460" s="37">
        <v>79.73</v>
      </c>
      <c r="M1460" s="37">
        <v>24856.01</v>
      </c>
      <c r="N1460" s="38">
        <v>1.91</v>
      </c>
    </row>
    <row r="1461" spans="1:14" x14ac:dyDescent="0.3">
      <c r="A1461" s="33">
        <v>45434</v>
      </c>
      <c r="B1461" s="34" t="s">
        <v>74</v>
      </c>
      <c r="C1461" s="34" t="s">
        <v>61</v>
      </c>
      <c r="D1461" s="34" t="s">
        <v>65</v>
      </c>
      <c r="E1461" s="34" t="s">
        <v>66</v>
      </c>
      <c r="F1461" s="35">
        <v>184702</v>
      </c>
      <c r="G1461" s="35">
        <v>5134</v>
      </c>
      <c r="H1461" s="36">
        <v>2.7799999999999998E-2</v>
      </c>
      <c r="I1461" s="37">
        <v>2.0099999999999998</v>
      </c>
      <c r="J1461" s="37">
        <v>10319.34</v>
      </c>
      <c r="K1461" s="35">
        <v>70</v>
      </c>
      <c r="L1461" s="37">
        <v>147.41999999999999</v>
      </c>
      <c r="M1461" s="37">
        <v>16883.490000000002</v>
      </c>
      <c r="N1461" s="38">
        <v>1.64</v>
      </c>
    </row>
    <row r="1462" spans="1:14" x14ac:dyDescent="0.3">
      <c r="A1462" s="33">
        <v>45393</v>
      </c>
      <c r="B1462" s="34" t="s">
        <v>74</v>
      </c>
      <c r="C1462" s="34" t="s">
        <v>67</v>
      </c>
      <c r="D1462" s="34" t="s">
        <v>62</v>
      </c>
      <c r="E1462" s="34" t="s">
        <v>69</v>
      </c>
      <c r="F1462" s="35">
        <v>5209</v>
      </c>
      <c r="G1462" s="35">
        <v>198</v>
      </c>
      <c r="H1462" s="36">
        <v>3.8100000000000002E-2</v>
      </c>
      <c r="I1462" s="37">
        <v>0.7</v>
      </c>
      <c r="J1462" s="37">
        <v>138.6</v>
      </c>
      <c r="K1462" s="35">
        <v>3</v>
      </c>
      <c r="L1462" s="37">
        <v>46.2</v>
      </c>
      <c r="M1462" s="37">
        <v>490.6</v>
      </c>
      <c r="N1462" s="38">
        <v>3.54</v>
      </c>
    </row>
    <row r="1463" spans="1:14" x14ac:dyDescent="0.3">
      <c r="A1463" s="33">
        <v>45462</v>
      </c>
      <c r="B1463" s="34" t="s">
        <v>74</v>
      </c>
      <c r="C1463" s="34" t="s">
        <v>75</v>
      </c>
      <c r="D1463" s="34" t="s">
        <v>76</v>
      </c>
      <c r="E1463" s="34" t="s">
        <v>77</v>
      </c>
      <c r="F1463" s="35">
        <v>88717</v>
      </c>
      <c r="G1463" s="35">
        <v>816</v>
      </c>
      <c r="H1463" s="36">
        <v>9.1999999999999998E-3</v>
      </c>
      <c r="I1463" s="37">
        <v>1.87</v>
      </c>
      <c r="J1463" s="37">
        <v>1525.92</v>
      </c>
      <c r="K1463" s="35">
        <v>46</v>
      </c>
      <c r="L1463" s="37">
        <v>33.17</v>
      </c>
      <c r="M1463" s="37">
        <v>4879.0200000000004</v>
      </c>
      <c r="N1463" s="38">
        <v>3.2</v>
      </c>
    </row>
    <row r="1464" spans="1:14" x14ac:dyDescent="0.3">
      <c r="A1464" s="33">
        <v>45510</v>
      </c>
      <c r="B1464" s="34" t="s">
        <v>60</v>
      </c>
      <c r="C1464" s="34" t="s">
        <v>70</v>
      </c>
      <c r="D1464" s="34" t="s">
        <v>76</v>
      </c>
      <c r="E1464" s="34" t="s">
        <v>77</v>
      </c>
      <c r="F1464" s="35">
        <v>146788</v>
      </c>
      <c r="G1464" s="35">
        <v>6003</v>
      </c>
      <c r="H1464" s="36">
        <v>4.0899999999999999E-2</v>
      </c>
      <c r="I1464" s="37">
        <v>2.42</v>
      </c>
      <c r="J1464" s="37">
        <v>14527.26</v>
      </c>
      <c r="K1464" s="35">
        <v>476</v>
      </c>
      <c r="L1464" s="37">
        <v>30.52</v>
      </c>
      <c r="M1464" s="37">
        <v>104420.05</v>
      </c>
      <c r="N1464" s="38">
        <v>7.19</v>
      </c>
    </row>
    <row r="1465" spans="1:14" x14ac:dyDescent="0.3">
      <c r="A1465" s="33">
        <v>45321</v>
      </c>
      <c r="B1465" s="34" t="s">
        <v>60</v>
      </c>
      <c r="C1465" s="34" t="s">
        <v>67</v>
      </c>
      <c r="D1465" s="34" t="s">
        <v>71</v>
      </c>
      <c r="E1465" s="34" t="s">
        <v>78</v>
      </c>
      <c r="F1465" s="35">
        <v>89052</v>
      </c>
      <c r="G1465" s="35">
        <v>2591</v>
      </c>
      <c r="H1465" s="36">
        <v>2.9100000000000001E-2</v>
      </c>
      <c r="I1465" s="37">
        <v>3.66</v>
      </c>
      <c r="J1465" s="37">
        <v>9483.06</v>
      </c>
      <c r="K1465" s="35">
        <v>190</v>
      </c>
      <c r="L1465" s="37">
        <v>49.91</v>
      </c>
      <c r="M1465" s="37">
        <v>12653.72</v>
      </c>
      <c r="N1465" s="38">
        <v>1.33</v>
      </c>
    </row>
    <row r="1466" spans="1:14" x14ac:dyDescent="0.3">
      <c r="A1466" s="33">
        <v>45594</v>
      </c>
      <c r="B1466" s="34" t="s">
        <v>60</v>
      </c>
      <c r="C1466" s="34" t="s">
        <v>70</v>
      </c>
      <c r="D1466" s="34" t="s">
        <v>76</v>
      </c>
      <c r="E1466" s="34" t="s">
        <v>72</v>
      </c>
      <c r="F1466" s="35">
        <v>46971</v>
      </c>
      <c r="G1466" s="35">
        <v>2437</v>
      </c>
      <c r="H1466" s="36">
        <v>5.1900000000000002E-2</v>
      </c>
      <c r="I1466" s="37">
        <v>2.04</v>
      </c>
      <c r="J1466" s="37">
        <v>4971.4799999999996</v>
      </c>
      <c r="K1466" s="35">
        <v>141</v>
      </c>
      <c r="L1466" s="37">
        <v>35.26</v>
      </c>
      <c r="M1466" s="37">
        <v>14817.7</v>
      </c>
      <c r="N1466" s="38">
        <v>2.98</v>
      </c>
    </row>
    <row r="1467" spans="1:14" x14ac:dyDescent="0.3">
      <c r="A1467" s="33">
        <v>45561</v>
      </c>
      <c r="B1467" s="34" t="s">
        <v>74</v>
      </c>
      <c r="C1467" s="34" t="s">
        <v>70</v>
      </c>
      <c r="D1467" s="34" t="s">
        <v>76</v>
      </c>
      <c r="E1467" s="34" t="s">
        <v>66</v>
      </c>
      <c r="F1467" s="35">
        <v>185419</v>
      </c>
      <c r="G1467" s="35">
        <v>7750</v>
      </c>
      <c r="H1467" s="36">
        <v>4.1799999999999997E-2</v>
      </c>
      <c r="I1467" s="37">
        <v>1.38</v>
      </c>
      <c r="J1467" s="37">
        <v>10695</v>
      </c>
      <c r="K1467" s="35">
        <v>400</v>
      </c>
      <c r="L1467" s="37">
        <v>26.74</v>
      </c>
      <c r="M1467" s="37">
        <v>13470.33</v>
      </c>
      <c r="N1467" s="38">
        <v>1.26</v>
      </c>
    </row>
    <row r="1468" spans="1:14" x14ac:dyDescent="0.3">
      <c r="A1468" s="33">
        <v>45470</v>
      </c>
      <c r="B1468" s="34" t="s">
        <v>60</v>
      </c>
      <c r="C1468" s="34" t="s">
        <v>75</v>
      </c>
      <c r="D1468" s="34" t="s">
        <v>65</v>
      </c>
      <c r="E1468" s="34" t="s">
        <v>63</v>
      </c>
      <c r="F1468" s="35">
        <v>36391</v>
      </c>
      <c r="G1468" s="35">
        <v>1684</v>
      </c>
      <c r="H1468" s="36">
        <v>4.6300000000000001E-2</v>
      </c>
      <c r="I1468" s="37">
        <v>3.59</v>
      </c>
      <c r="J1468" s="37">
        <v>6045.56</v>
      </c>
      <c r="K1468" s="35">
        <v>18</v>
      </c>
      <c r="L1468" s="37">
        <v>335.86</v>
      </c>
      <c r="M1468" s="37">
        <v>4868.51</v>
      </c>
      <c r="N1468" s="38">
        <v>0.81</v>
      </c>
    </row>
    <row r="1469" spans="1:14" x14ac:dyDescent="0.3">
      <c r="A1469" s="33">
        <v>45385</v>
      </c>
      <c r="B1469" s="34" t="s">
        <v>60</v>
      </c>
      <c r="C1469" s="34" t="s">
        <v>75</v>
      </c>
      <c r="D1469" s="34" t="s">
        <v>65</v>
      </c>
      <c r="E1469" s="34" t="s">
        <v>77</v>
      </c>
      <c r="F1469" s="35">
        <v>169575</v>
      </c>
      <c r="G1469" s="35">
        <v>3730</v>
      </c>
      <c r="H1469" s="36">
        <v>2.1999999999999999E-2</v>
      </c>
      <c r="I1469" s="37">
        <v>2.71</v>
      </c>
      <c r="J1469" s="37">
        <v>10108.299999999999</v>
      </c>
      <c r="K1469" s="35">
        <v>284</v>
      </c>
      <c r="L1469" s="37">
        <v>35.590000000000003</v>
      </c>
      <c r="M1469" s="37">
        <v>8952.89</v>
      </c>
      <c r="N1469" s="38">
        <v>0.89</v>
      </c>
    </row>
    <row r="1470" spans="1:14" x14ac:dyDescent="0.3">
      <c r="A1470" s="33">
        <v>45497</v>
      </c>
      <c r="B1470" s="34" t="s">
        <v>60</v>
      </c>
      <c r="C1470" s="34" t="s">
        <v>67</v>
      </c>
      <c r="D1470" s="34" t="s">
        <v>76</v>
      </c>
      <c r="E1470" s="34" t="s">
        <v>66</v>
      </c>
      <c r="F1470" s="35">
        <v>146656</v>
      </c>
      <c r="G1470" s="35">
        <v>5719</v>
      </c>
      <c r="H1470" s="36">
        <v>3.9E-2</v>
      </c>
      <c r="I1470" s="37">
        <v>1.75</v>
      </c>
      <c r="J1470" s="37">
        <v>10008.25</v>
      </c>
      <c r="K1470" s="35">
        <v>357</v>
      </c>
      <c r="L1470" s="37">
        <v>28.03</v>
      </c>
      <c r="M1470" s="37">
        <v>62250.35</v>
      </c>
      <c r="N1470" s="38">
        <v>6.22</v>
      </c>
    </row>
    <row r="1471" spans="1:14" x14ac:dyDescent="0.3">
      <c r="A1471" s="33">
        <v>45437</v>
      </c>
      <c r="B1471" s="34" t="s">
        <v>60</v>
      </c>
      <c r="C1471" s="34" t="s">
        <v>75</v>
      </c>
      <c r="D1471" s="34" t="s">
        <v>62</v>
      </c>
      <c r="E1471" s="34" t="s">
        <v>72</v>
      </c>
      <c r="F1471" s="35">
        <v>116972</v>
      </c>
      <c r="G1471" s="35">
        <v>6269</v>
      </c>
      <c r="H1471" s="36">
        <v>5.3600000000000002E-2</v>
      </c>
      <c r="I1471" s="37">
        <v>2.83</v>
      </c>
      <c r="J1471" s="37">
        <v>17741.27</v>
      </c>
      <c r="K1471" s="35">
        <v>83</v>
      </c>
      <c r="L1471" s="37">
        <v>213.75</v>
      </c>
      <c r="M1471" s="37">
        <v>8852.61</v>
      </c>
      <c r="N1471" s="38">
        <v>0.5</v>
      </c>
    </row>
    <row r="1472" spans="1:14" x14ac:dyDescent="0.3">
      <c r="A1472" s="33">
        <v>45613</v>
      </c>
      <c r="B1472" s="34" t="s">
        <v>74</v>
      </c>
      <c r="C1472" s="34" t="s">
        <v>61</v>
      </c>
      <c r="D1472" s="34" t="s">
        <v>71</v>
      </c>
      <c r="E1472" s="34" t="s">
        <v>73</v>
      </c>
      <c r="F1472" s="35">
        <v>45664</v>
      </c>
      <c r="G1472" s="35">
        <v>516</v>
      </c>
      <c r="H1472" s="36">
        <v>1.1299999999999999E-2</v>
      </c>
      <c r="I1472" s="37">
        <v>1.67</v>
      </c>
      <c r="J1472" s="37">
        <v>861.72</v>
      </c>
      <c r="K1472" s="35">
        <v>34</v>
      </c>
      <c r="L1472" s="37">
        <v>25.34</v>
      </c>
      <c r="M1472" s="37">
        <v>7132.56</v>
      </c>
      <c r="N1472" s="38">
        <v>8.2799999999999994</v>
      </c>
    </row>
    <row r="1473" spans="1:14" x14ac:dyDescent="0.3">
      <c r="A1473" s="33">
        <v>45641</v>
      </c>
      <c r="B1473" s="34" t="s">
        <v>74</v>
      </c>
      <c r="C1473" s="34" t="s">
        <v>70</v>
      </c>
      <c r="D1473" s="34" t="s">
        <v>71</v>
      </c>
      <c r="E1473" s="34" t="s">
        <v>66</v>
      </c>
      <c r="F1473" s="35">
        <v>125759</v>
      </c>
      <c r="G1473" s="35">
        <v>2804</v>
      </c>
      <c r="H1473" s="36">
        <v>2.23E-2</v>
      </c>
      <c r="I1473" s="37">
        <v>1.75</v>
      </c>
      <c r="J1473" s="37">
        <v>4907</v>
      </c>
      <c r="K1473" s="35">
        <v>164</v>
      </c>
      <c r="L1473" s="37">
        <v>29.92</v>
      </c>
      <c r="M1473" s="37">
        <v>46752.65</v>
      </c>
      <c r="N1473" s="38">
        <v>9.5299999999999994</v>
      </c>
    </row>
    <row r="1474" spans="1:14" x14ac:dyDescent="0.3">
      <c r="A1474" s="33">
        <v>45375</v>
      </c>
      <c r="B1474" s="34" t="s">
        <v>60</v>
      </c>
      <c r="C1474" s="34" t="s">
        <v>70</v>
      </c>
      <c r="D1474" s="34" t="s">
        <v>65</v>
      </c>
      <c r="E1474" s="34" t="s">
        <v>63</v>
      </c>
      <c r="F1474" s="35">
        <v>26529</v>
      </c>
      <c r="G1474" s="35">
        <v>1106</v>
      </c>
      <c r="H1474" s="36">
        <v>4.1700000000000001E-2</v>
      </c>
      <c r="I1474" s="37">
        <v>1.78</v>
      </c>
      <c r="J1474" s="37">
        <v>1968.68</v>
      </c>
      <c r="K1474" s="35">
        <v>78</v>
      </c>
      <c r="L1474" s="37">
        <v>25.24</v>
      </c>
      <c r="M1474" s="37">
        <v>2995.39</v>
      </c>
      <c r="N1474" s="38">
        <v>1.52</v>
      </c>
    </row>
    <row r="1475" spans="1:14" x14ac:dyDescent="0.3">
      <c r="A1475" s="33">
        <v>45639</v>
      </c>
      <c r="B1475" s="34" t="s">
        <v>64</v>
      </c>
      <c r="C1475" s="34" t="s">
        <v>70</v>
      </c>
      <c r="D1475" s="34" t="s">
        <v>65</v>
      </c>
      <c r="E1475" s="34" t="s">
        <v>77</v>
      </c>
      <c r="F1475" s="35">
        <v>114863</v>
      </c>
      <c r="G1475" s="35">
        <v>5766</v>
      </c>
      <c r="H1475" s="36">
        <v>5.0200000000000002E-2</v>
      </c>
      <c r="I1475" s="37">
        <v>1.63</v>
      </c>
      <c r="J1475" s="37">
        <v>9398.58</v>
      </c>
      <c r="K1475" s="35">
        <v>89</v>
      </c>
      <c r="L1475" s="37">
        <v>105.6</v>
      </c>
      <c r="M1475" s="37">
        <v>22499.919999999998</v>
      </c>
      <c r="N1475" s="38">
        <v>2.39</v>
      </c>
    </row>
    <row r="1476" spans="1:14" x14ac:dyDescent="0.3">
      <c r="A1476" s="33">
        <v>45589</v>
      </c>
      <c r="B1476" s="34" t="s">
        <v>74</v>
      </c>
      <c r="C1476" s="34" t="s">
        <v>75</v>
      </c>
      <c r="D1476" s="34" t="s">
        <v>68</v>
      </c>
      <c r="E1476" s="34" t="s">
        <v>69</v>
      </c>
      <c r="F1476" s="35">
        <v>171353</v>
      </c>
      <c r="G1476" s="35">
        <v>5534</v>
      </c>
      <c r="H1476" s="36">
        <v>3.2300000000000002E-2</v>
      </c>
      <c r="I1476" s="37">
        <v>1.86</v>
      </c>
      <c r="J1476" s="37">
        <v>10293.24</v>
      </c>
      <c r="K1476" s="35">
        <v>221</v>
      </c>
      <c r="L1476" s="37">
        <v>46.58</v>
      </c>
      <c r="M1476" s="37">
        <v>52725.19</v>
      </c>
      <c r="N1476" s="38">
        <v>5.12</v>
      </c>
    </row>
    <row r="1477" spans="1:14" x14ac:dyDescent="0.3">
      <c r="A1477" s="33">
        <v>45648</v>
      </c>
      <c r="B1477" s="34" t="s">
        <v>74</v>
      </c>
      <c r="C1477" s="34" t="s">
        <v>70</v>
      </c>
      <c r="D1477" s="34" t="s">
        <v>65</v>
      </c>
      <c r="E1477" s="34" t="s">
        <v>66</v>
      </c>
      <c r="F1477" s="35">
        <v>49522</v>
      </c>
      <c r="G1477" s="35">
        <v>1554</v>
      </c>
      <c r="H1477" s="36">
        <v>3.1399999999999997E-2</v>
      </c>
      <c r="I1477" s="37">
        <v>1.71</v>
      </c>
      <c r="J1477" s="37">
        <v>2657.34</v>
      </c>
      <c r="K1477" s="35">
        <v>23</v>
      </c>
      <c r="L1477" s="37">
        <v>115.54</v>
      </c>
      <c r="M1477" s="37">
        <v>1909.73</v>
      </c>
      <c r="N1477" s="38">
        <v>0.72</v>
      </c>
    </row>
    <row r="1478" spans="1:14" x14ac:dyDescent="0.3">
      <c r="A1478" s="33">
        <v>45415</v>
      </c>
      <c r="B1478" s="34" t="s">
        <v>60</v>
      </c>
      <c r="C1478" s="34" t="s">
        <v>61</v>
      </c>
      <c r="D1478" s="34" t="s">
        <v>68</v>
      </c>
      <c r="E1478" s="34" t="s">
        <v>77</v>
      </c>
      <c r="F1478" s="35">
        <v>136135</v>
      </c>
      <c r="G1478" s="35">
        <v>7936</v>
      </c>
      <c r="H1478" s="36">
        <v>5.8299999999999998E-2</v>
      </c>
      <c r="I1478" s="37">
        <v>1.36</v>
      </c>
      <c r="J1478" s="37">
        <v>10792.96</v>
      </c>
      <c r="K1478" s="35">
        <v>406</v>
      </c>
      <c r="L1478" s="37">
        <v>26.58</v>
      </c>
      <c r="M1478" s="37">
        <v>40442.85</v>
      </c>
      <c r="N1478" s="38">
        <v>3.75</v>
      </c>
    </row>
    <row r="1479" spans="1:14" x14ac:dyDescent="0.3">
      <c r="A1479" s="33">
        <v>45423</v>
      </c>
      <c r="B1479" s="34" t="s">
        <v>74</v>
      </c>
      <c r="C1479" s="34" t="s">
        <v>67</v>
      </c>
      <c r="D1479" s="34" t="s">
        <v>68</v>
      </c>
      <c r="E1479" s="34" t="s">
        <v>66</v>
      </c>
      <c r="F1479" s="35">
        <v>172108</v>
      </c>
      <c r="G1479" s="35">
        <v>6109</v>
      </c>
      <c r="H1479" s="36">
        <v>3.5499999999999997E-2</v>
      </c>
      <c r="I1479" s="37">
        <v>2.2799999999999998</v>
      </c>
      <c r="J1479" s="37">
        <v>13928.52</v>
      </c>
      <c r="K1479" s="35">
        <v>435</v>
      </c>
      <c r="L1479" s="37">
        <v>32.020000000000003</v>
      </c>
      <c r="M1479" s="37">
        <v>13163.33</v>
      </c>
      <c r="N1479" s="38">
        <v>0.95</v>
      </c>
    </row>
    <row r="1480" spans="1:14" x14ac:dyDescent="0.3">
      <c r="A1480" s="33">
        <v>45589</v>
      </c>
      <c r="B1480" s="34" t="s">
        <v>64</v>
      </c>
      <c r="C1480" s="34" t="s">
        <v>67</v>
      </c>
      <c r="D1480" s="34" t="s">
        <v>65</v>
      </c>
      <c r="E1480" s="34" t="s">
        <v>77</v>
      </c>
      <c r="F1480" s="35">
        <v>193151</v>
      </c>
      <c r="G1480" s="35">
        <v>12168</v>
      </c>
      <c r="H1480" s="36">
        <v>6.3E-2</v>
      </c>
      <c r="I1480" s="37">
        <v>1.1299999999999999</v>
      </c>
      <c r="J1480" s="37">
        <v>13749.84</v>
      </c>
      <c r="K1480" s="35">
        <v>612</v>
      </c>
      <c r="L1480" s="37">
        <v>22.47</v>
      </c>
      <c r="M1480" s="37">
        <v>109401</v>
      </c>
      <c r="N1480" s="38">
        <v>7.96</v>
      </c>
    </row>
    <row r="1481" spans="1:14" x14ac:dyDescent="0.3">
      <c r="A1481" s="33">
        <v>45464</v>
      </c>
      <c r="B1481" s="34" t="s">
        <v>64</v>
      </c>
      <c r="C1481" s="34" t="s">
        <v>75</v>
      </c>
      <c r="D1481" s="34" t="s">
        <v>65</v>
      </c>
      <c r="E1481" s="34" t="s">
        <v>73</v>
      </c>
      <c r="F1481" s="35">
        <v>102519</v>
      </c>
      <c r="G1481" s="35">
        <v>4285</v>
      </c>
      <c r="H1481" s="36">
        <v>4.1799999999999997E-2</v>
      </c>
      <c r="I1481" s="37">
        <v>1.2</v>
      </c>
      <c r="J1481" s="37">
        <v>5142</v>
      </c>
      <c r="K1481" s="35">
        <v>137</v>
      </c>
      <c r="L1481" s="37">
        <v>37.53</v>
      </c>
      <c r="M1481" s="37">
        <v>26733.75</v>
      </c>
      <c r="N1481" s="38">
        <v>5.2</v>
      </c>
    </row>
    <row r="1482" spans="1:14" x14ac:dyDescent="0.3">
      <c r="A1482" s="33">
        <v>45541</v>
      </c>
      <c r="B1482" s="34" t="s">
        <v>60</v>
      </c>
      <c r="C1482" s="34" t="s">
        <v>70</v>
      </c>
      <c r="D1482" s="34" t="s">
        <v>68</v>
      </c>
      <c r="E1482" s="34" t="s">
        <v>72</v>
      </c>
      <c r="F1482" s="35">
        <v>36092</v>
      </c>
      <c r="G1482" s="35">
        <v>1050</v>
      </c>
      <c r="H1482" s="36">
        <v>2.9100000000000001E-2</v>
      </c>
      <c r="I1482" s="37">
        <v>3.68</v>
      </c>
      <c r="J1482" s="37">
        <v>3864</v>
      </c>
      <c r="K1482" s="35">
        <v>34</v>
      </c>
      <c r="L1482" s="37">
        <v>113.65</v>
      </c>
      <c r="M1482" s="37">
        <v>1685.69</v>
      </c>
      <c r="N1482" s="38">
        <v>0.44</v>
      </c>
    </row>
    <row r="1483" spans="1:14" x14ac:dyDescent="0.3">
      <c r="A1483" s="33">
        <v>45536</v>
      </c>
      <c r="B1483" s="34" t="s">
        <v>64</v>
      </c>
      <c r="C1483" s="34" t="s">
        <v>67</v>
      </c>
      <c r="D1483" s="34" t="s">
        <v>65</v>
      </c>
      <c r="E1483" s="34" t="s">
        <v>78</v>
      </c>
      <c r="F1483" s="35">
        <v>6628</v>
      </c>
      <c r="G1483" s="35">
        <v>261</v>
      </c>
      <c r="H1483" s="36">
        <v>3.95E-2</v>
      </c>
      <c r="I1483" s="37">
        <v>1.28</v>
      </c>
      <c r="J1483" s="37">
        <v>334.08</v>
      </c>
      <c r="K1483" s="35">
        <v>11</v>
      </c>
      <c r="L1483" s="37">
        <v>30.37</v>
      </c>
      <c r="M1483" s="37">
        <v>2224.48</v>
      </c>
      <c r="N1483" s="38">
        <v>6.66</v>
      </c>
    </row>
    <row r="1484" spans="1:14" x14ac:dyDescent="0.3">
      <c r="A1484" s="33">
        <v>45374</v>
      </c>
      <c r="B1484" s="34" t="s">
        <v>74</v>
      </c>
      <c r="C1484" s="34" t="s">
        <v>67</v>
      </c>
      <c r="D1484" s="34" t="s">
        <v>71</v>
      </c>
      <c r="E1484" s="34" t="s">
        <v>66</v>
      </c>
      <c r="F1484" s="35">
        <v>28593</v>
      </c>
      <c r="G1484" s="35">
        <v>694</v>
      </c>
      <c r="H1484" s="36">
        <v>2.4299999999999999E-2</v>
      </c>
      <c r="I1484" s="37">
        <v>1.58</v>
      </c>
      <c r="J1484" s="37">
        <v>1096.52</v>
      </c>
      <c r="K1484" s="35">
        <v>7</v>
      </c>
      <c r="L1484" s="37">
        <v>156.65</v>
      </c>
      <c r="M1484" s="37">
        <v>2098</v>
      </c>
      <c r="N1484" s="38">
        <v>1.91</v>
      </c>
    </row>
    <row r="1485" spans="1:14" x14ac:dyDescent="0.3">
      <c r="A1485" s="33">
        <v>45446</v>
      </c>
      <c r="B1485" s="34" t="s">
        <v>74</v>
      </c>
      <c r="C1485" s="34" t="s">
        <v>61</v>
      </c>
      <c r="D1485" s="34" t="s">
        <v>65</v>
      </c>
      <c r="E1485" s="34" t="s">
        <v>72</v>
      </c>
      <c r="F1485" s="35">
        <v>186845</v>
      </c>
      <c r="G1485" s="35">
        <v>4204</v>
      </c>
      <c r="H1485" s="36">
        <v>2.2499999999999999E-2</v>
      </c>
      <c r="I1485" s="37">
        <v>1.81</v>
      </c>
      <c r="J1485" s="37">
        <v>7609.24</v>
      </c>
      <c r="K1485" s="35">
        <v>275</v>
      </c>
      <c r="L1485" s="37">
        <v>27.67</v>
      </c>
      <c r="M1485" s="37">
        <v>24004.25</v>
      </c>
      <c r="N1485" s="38">
        <v>3.15</v>
      </c>
    </row>
    <row r="1486" spans="1:14" x14ac:dyDescent="0.3">
      <c r="A1486" s="33">
        <v>45518</v>
      </c>
      <c r="B1486" s="34" t="s">
        <v>74</v>
      </c>
      <c r="C1486" s="34" t="s">
        <v>61</v>
      </c>
      <c r="D1486" s="34" t="s">
        <v>62</v>
      </c>
      <c r="E1486" s="34" t="s">
        <v>69</v>
      </c>
      <c r="F1486" s="35">
        <v>25930</v>
      </c>
      <c r="G1486" s="35">
        <v>609</v>
      </c>
      <c r="H1486" s="36">
        <v>2.35E-2</v>
      </c>
      <c r="I1486" s="37">
        <v>0.55000000000000004</v>
      </c>
      <c r="J1486" s="37">
        <v>334.95</v>
      </c>
      <c r="K1486" s="35">
        <v>7</v>
      </c>
      <c r="L1486" s="37">
        <v>47.85</v>
      </c>
      <c r="M1486" s="37">
        <v>509.29</v>
      </c>
      <c r="N1486" s="38">
        <v>1.52</v>
      </c>
    </row>
    <row r="1487" spans="1:14" x14ac:dyDescent="0.3">
      <c r="A1487" s="33">
        <v>45591</v>
      </c>
      <c r="B1487" s="34" t="s">
        <v>60</v>
      </c>
      <c r="C1487" s="34" t="s">
        <v>75</v>
      </c>
      <c r="D1487" s="34" t="s">
        <v>62</v>
      </c>
      <c r="E1487" s="34" t="s">
        <v>63</v>
      </c>
      <c r="F1487" s="35">
        <v>114914</v>
      </c>
      <c r="G1487" s="35">
        <v>3803</v>
      </c>
      <c r="H1487" s="36">
        <v>3.3099999999999997E-2</v>
      </c>
      <c r="I1487" s="37">
        <v>2.69</v>
      </c>
      <c r="J1487" s="37">
        <v>10230.07</v>
      </c>
      <c r="K1487" s="35">
        <v>224</v>
      </c>
      <c r="L1487" s="37">
        <v>45.67</v>
      </c>
      <c r="M1487" s="37">
        <v>67007.759999999995</v>
      </c>
      <c r="N1487" s="38">
        <v>6.55</v>
      </c>
    </row>
    <row r="1488" spans="1:14" x14ac:dyDescent="0.3">
      <c r="A1488" s="33">
        <v>45562</v>
      </c>
      <c r="B1488" s="34" t="s">
        <v>60</v>
      </c>
      <c r="C1488" s="34" t="s">
        <v>75</v>
      </c>
      <c r="D1488" s="34" t="s">
        <v>65</v>
      </c>
      <c r="E1488" s="34" t="s">
        <v>78</v>
      </c>
      <c r="F1488" s="35">
        <v>34652</v>
      </c>
      <c r="G1488" s="35">
        <v>866</v>
      </c>
      <c r="H1488" s="36">
        <v>2.5000000000000001E-2</v>
      </c>
      <c r="I1488" s="37">
        <v>1.57</v>
      </c>
      <c r="J1488" s="37">
        <v>1359.62</v>
      </c>
      <c r="K1488" s="35">
        <v>43</v>
      </c>
      <c r="L1488" s="37">
        <v>31.62</v>
      </c>
      <c r="M1488" s="37">
        <v>2728.57</v>
      </c>
      <c r="N1488" s="38">
        <v>2.0099999999999998</v>
      </c>
    </row>
    <row r="1489" spans="1:14" x14ac:dyDescent="0.3">
      <c r="A1489" s="33">
        <v>45343</v>
      </c>
      <c r="B1489" s="34" t="s">
        <v>60</v>
      </c>
      <c r="C1489" s="34" t="s">
        <v>75</v>
      </c>
      <c r="D1489" s="34" t="s">
        <v>65</v>
      </c>
      <c r="E1489" s="34" t="s">
        <v>77</v>
      </c>
      <c r="F1489" s="35">
        <v>136585</v>
      </c>
      <c r="G1489" s="35">
        <v>5668</v>
      </c>
      <c r="H1489" s="36">
        <v>4.1500000000000002E-2</v>
      </c>
      <c r="I1489" s="37">
        <v>2.89</v>
      </c>
      <c r="J1489" s="37">
        <v>16380.52</v>
      </c>
      <c r="K1489" s="35">
        <v>120</v>
      </c>
      <c r="L1489" s="37">
        <v>136.5</v>
      </c>
      <c r="M1489" s="37">
        <v>20065.189999999999</v>
      </c>
      <c r="N1489" s="38">
        <v>1.22</v>
      </c>
    </row>
    <row r="1490" spans="1:14" x14ac:dyDescent="0.3">
      <c r="A1490" s="33">
        <v>45619</v>
      </c>
      <c r="B1490" s="34" t="s">
        <v>60</v>
      </c>
      <c r="C1490" s="34" t="s">
        <v>75</v>
      </c>
      <c r="D1490" s="34" t="s">
        <v>68</v>
      </c>
      <c r="E1490" s="34" t="s">
        <v>73</v>
      </c>
      <c r="F1490" s="35">
        <v>192822</v>
      </c>
      <c r="G1490" s="35">
        <v>6228</v>
      </c>
      <c r="H1490" s="36">
        <v>3.2300000000000002E-2</v>
      </c>
      <c r="I1490" s="37">
        <v>3.35</v>
      </c>
      <c r="J1490" s="37">
        <v>20863.8</v>
      </c>
      <c r="K1490" s="35">
        <v>87</v>
      </c>
      <c r="L1490" s="37">
        <v>239.81</v>
      </c>
      <c r="M1490" s="37">
        <v>18207.05</v>
      </c>
      <c r="N1490" s="38">
        <v>0.87</v>
      </c>
    </row>
    <row r="1491" spans="1:14" x14ac:dyDescent="0.3">
      <c r="A1491" s="33">
        <v>45656</v>
      </c>
      <c r="B1491" s="34" t="s">
        <v>60</v>
      </c>
      <c r="C1491" s="34" t="s">
        <v>61</v>
      </c>
      <c r="D1491" s="34" t="s">
        <v>68</v>
      </c>
      <c r="E1491" s="34" t="s">
        <v>66</v>
      </c>
      <c r="F1491" s="35">
        <v>63738</v>
      </c>
      <c r="G1491" s="35">
        <v>1306</v>
      </c>
      <c r="H1491" s="36">
        <v>2.0500000000000001E-2</v>
      </c>
      <c r="I1491" s="37">
        <v>0.93</v>
      </c>
      <c r="J1491" s="37">
        <v>1214.58</v>
      </c>
      <c r="K1491" s="35">
        <v>87</v>
      </c>
      <c r="L1491" s="37">
        <v>13.96</v>
      </c>
      <c r="M1491" s="37">
        <v>16951.52</v>
      </c>
      <c r="N1491" s="38">
        <v>13.96</v>
      </c>
    </row>
    <row r="1492" spans="1:14" x14ac:dyDescent="0.3">
      <c r="A1492" s="33">
        <v>45350</v>
      </c>
      <c r="B1492" s="34" t="s">
        <v>60</v>
      </c>
      <c r="C1492" s="34" t="s">
        <v>61</v>
      </c>
      <c r="D1492" s="34" t="s">
        <v>62</v>
      </c>
      <c r="E1492" s="34" t="s">
        <v>77</v>
      </c>
      <c r="F1492" s="35">
        <v>28267</v>
      </c>
      <c r="G1492" s="35">
        <v>1769</v>
      </c>
      <c r="H1492" s="36">
        <v>6.2600000000000003E-2</v>
      </c>
      <c r="I1492" s="37">
        <v>2.59</v>
      </c>
      <c r="J1492" s="37">
        <v>4581.71</v>
      </c>
      <c r="K1492" s="35">
        <v>33</v>
      </c>
      <c r="L1492" s="37">
        <v>138.84</v>
      </c>
      <c r="M1492" s="37">
        <v>1968.12</v>
      </c>
      <c r="N1492" s="38">
        <v>0.43</v>
      </c>
    </row>
    <row r="1493" spans="1:14" x14ac:dyDescent="0.3">
      <c r="A1493" s="33">
        <v>45386</v>
      </c>
      <c r="B1493" s="34" t="s">
        <v>74</v>
      </c>
      <c r="C1493" s="34" t="s">
        <v>75</v>
      </c>
      <c r="D1493" s="34" t="s">
        <v>62</v>
      </c>
      <c r="E1493" s="34" t="s">
        <v>78</v>
      </c>
      <c r="F1493" s="35">
        <v>42606</v>
      </c>
      <c r="G1493" s="35">
        <v>1495</v>
      </c>
      <c r="H1493" s="36">
        <v>3.5099999999999999E-2</v>
      </c>
      <c r="I1493" s="37">
        <v>0.77</v>
      </c>
      <c r="J1493" s="37">
        <v>1151.1500000000001</v>
      </c>
      <c r="K1493" s="35">
        <v>96</v>
      </c>
      <c r="L1493" s="37">
        <v>11.99</v>
      </c>
      <c r="M1493" s="37">
        <v>14890.27</v>
      </c>
      <c r="N1493" s="38">
        <v>12.94</v>
      </c>
    </row>
    <row r="1494" spans="1:14" x14ac:dyDescent="0.3">
      <c r="A1494" s="33">
        <v>45313</v>
      </c>
      <c r="B1494" s="34" t="s">
        <v>64</v>
      </c>
      <c r="C1494" s="34" t="s">
        <v>75</v>
      </c>
      <c r="D1494" s="34" t="s">
        <v>68</v>
      </c>
      <c r="E1494" s="34" t="s">
        <v>73</v>
      </c>
      <c r="F1494" s="35">
        <v>120409</v>
      </c>
      <c r="G1494" s="35">
        <v>8356</v>
      </c>
      <c r="H1494" s="36">
        <v>6.9400000000000003E-2</v>
      </c>
      <c r="I1494" s="37">
        <v>0.96</v>
      </c>
      <c r="J1494" s="37">
        <v>8021.76</v>
      </c>
      <c r="K1494" s="35">
        <v>663</v>
      </c>
      <c r="L1494" s="37">
        <v>12.1</v>
      </c>
      <c r="M1494" s="37">
        <v>50787.7</v>
      </c>
      <c r="N1494" s="38">
        <v>6.33</v>
      </c>
    </row>
    <row r="1495" spans="1:14" x14ac:dyDescent="0.3">
      <c r="A1495" s="33">
        <v>45416</v>
      </c>
      <c r="B1495" s="34" t="s">
        <v>64</v>
      </c>
      <c r="C1495" s="34" t="s">
        <v>75</v>
      </c>
      <c r="D1495" s="34" t="s">
        <v>65</v>
      </c>
      <c r="E1495" s="34" t="s">
        <v>72</v>
      </c>
      <c r="F1495" s="35">
        <v>120210</v>
      </c>
      <c r="G1495" s="35">
        <v>6455</v>
      </c>
      <c r="H1495" s="36">
        <v>5.3699999999999998E-2</v>
      </c>
      <c r="I1495" s="37">
        <v>1.78</v>
      </c>
      <c r="J1495" s="37">
        <v>11489.9</v>
      </c>
      <c r="K1495" s="35">
        <v>289</v>
      </c>
      <c r="L1495" s="37">
        <v>39.76</v>
      </c>
      <c r="M1495" s="37">
        <v>23286.47</v>
      </c>
      <c r="N1495" s="38">
        <v>2.0299999999999998</v>
      </c>
    </row>
    <row r="1496" spans="1:14" x14ac:dyDescent="0.3">
      <c r="A1496" s="33">
        <v>45511</v>
      </c>
      <c r="B1496" s="34" t="s">
        <v>74</v>
      </c>
      <c r="C1496" s="34" t="s">
        <v>61</v>
      </c>
      <c r="D1496" s="34" t="s">
        <v>68</v>
      </c>
      <c r="E1496" s="34" t="s">
        <v>63</v>
      </c>
      <c r="F1496" s="35">
        <v>96360</v>
      </c>
      <c r="G1496" s="35">
        <v>3247</v>
      </c>
      <c r="H1496" s="36">
        <v>3.3700000000000001E-2</v>
      </c>
      <c r="I1496" s="37">
        <v>0.43</v>
      </c>
      <c r="J1496" s="37">
        <v>1396.21</v>
      </c>
      <c r="K1496" s="35">
        <v>211</v>
      </c>
      <c r="L1496" s="37">
        <v>6.62</v>
      </c>
      <c r="M1496" s="37">
        <v>50567.51</v>
      </c>
      <c r="N1496" s="38">
        <v>36.22</v>
      </c>
    </row>
    <row r="1497" spans="1:14" x14ac:dyDescent="0.3">
      <c r="A1497" s="33">
        <v>45404</v>
      </c>
      <c r="B1497" s="34" t="s">
        <v>64</v>
      </c>
      <c r="C1497" s="34" t="s">
        <v>70</v>
      </c>
      <c r="D1497" s="34" t="s">
        <v>65</v>
      </c>
      <c r="E1497" s="34" t="s">
        <v>73</v>
      </c>
      <c r="F1497" s="35">
        <v>186006</v>
      </c>
      <c r="G1497" s="35">
        <v>9002</v>
      </c>
      <c r="H1497" s="36">
        <v>4.8399999999999999E-2</v>
      </c>
      <c r="I1497" s="37">
        <v>1.52</v>
      </c>
      <c r="J1497" s="37">
        <v>13683.04</v>
      </c>
      <c r="K1497" s="35">
        <v>266</v>
      </c>
      <c r="L1497" s="37">
        <v>51.44</v>
      </c>
      <c r="M1497" s="37">
        <v>31194.26</v>
      </c>
      <c r="N1497" s="38">
        <v>2.2799999999999998</v>
      </c>
    </row>
    <row r="1498" spans="1:14" x14ac:dyDescent="0.3">
      <c r="A1498" s="33">
        <v>45579</v>
      </c>
      <c r="B1498" s="34" t="s">
        <v>60</v>
      </c>
      <c r="C1498" s="34" t="s">
        <v>70</v>
      </c>
      <c r="D1498" s="34" t="s">
        <v>76</v>
      </c>
      <c r="E1498" s="34" t="s">
        <v>72</v>
      </c>
      <c r="F1498" s="35">
        <v>34036</v>
      </c>
      <c r="G1498" s="35">
        <v>2086</v>
      </c>
      <c r="H1498" s="36">
        <v>6.13E-2</v>
      </c>
      <c r="I1498" s="37">
        <v>3.45</v>
      </c>
      <c r="J1498" s="37">
        <v>7196.7</v>
      </c>
      <c r="K1498" s="35">
        <v>110</v>
      </c>
      <c r="L1498" s="37">
        <v>65.42</v>
      </c>
      <c r="M1498" s="37">
        <v>21503.08</v>
      </c>
      <c r="N1498" s="38">
        <v>2.99</v>
      </c>
    </row>
    <row r="1499" spans="1:14" x14ac:dyDescent="0.3">
      <c r="A1499" s="33">
        <v>45332</v>
      </c>
      <c r="B1499" s="34" t="s">
        <v>64</v>
      </c>
      <c r="C1499" s="34" t="s">
        <v>70</v>
      </c>
      <c r="D1499" s="34" t="s">
        <v>71</v>
      </c>
      <c r="E1499" s="34" t="s">
        <v>69</v>
      </c>
      <c r="F1499" s="35">
        <v>116709</v>
      </c>
      <c r="G1499" s="35">
        <v>6640</v>
      </c>
      <c r="H1499" s="36">
        <v>5.6899999999999999E-2</v>
      </c>
      <c r="I1499" s="37">
        <v>1.97</v>
      </c>
      <c r="J1499" s="37">
        <v>13080.8</v>
      </c>
      <c r="K1499" s="35">
        <v>304</v>
      </c>
      <c r="L1499" s="37">
        <v>43.03</v>
      </c>
      <c r="M1499" s="37">
        <v>83458.179999999993</v>
      </c>
      <c r="N1499" s="38">
        <v>6.38</v>
      </c>
    </row>
    <row r="1500" spans="1:14" x14ac:dyDescent="0.3">
      <c r="A1500" s="33">
        <v>45448</v>
      </c>
      <c r="B1500" s="34" t="s">
        <v>74</v>
      </c>
      <c r="C1500" s="34" t="s">
        <v>70</v>
      </c>
      <c r="D1500" s="34" t="s">
        <v>65</v>
      </c>
      <c r="E1500" s="34" t="s">
        <v>66</v>
      </c>
      <c r="F1500" s="35">
        <v>98276</v>
      </c>
      <c r="G1500" s="35">
        <v>2368</v>
      </c>
      <c r="H1500" s="36">
        <v>2.41E-2</v>
      </c>
      <c r="I1500" s="37">
        <v>1.41</v>
      </c>
      <c r="J1500" s="37">
        <v>3338.88</v>
      </c>
      <c r="K1500" s="35">
        <v>115</v>
      </c>
      <c r="L1500" s="37">
        <v>29.03</v>
      </c>
      <c r="M1500" s="37">
        <v>21637.86</v>
      </c>
      <c r="N1500" s="38">
        <v>6.48</v>
      </c>
    </row>
    <row r="1501" spans="1:14" x14ac:dyDescent="0.3">
      <c r="A1501" s="33">
        <v>45554</v>
      </c>
      <c r="B1501" s="34" t="s">
        <v>60</v>
      </c>
      <c r="C1501" s="34" t="s">
        <v>70</v>
      </c>
      <c r="D1501" s="34" t="s">
        <v>65</v>
      </c>
      <c r="E1501" s="34" t="s">
        <v>66</v>
      </c>
      <c r="F1501" s="35">
        <v>162353</v>
      </c>
      <c r="G1501" s="35">
        <v>3977</v>
      </c>
      <c r="H1501" s="36">
        <v>2.4500000000000001E-2</v>
      </c>
      <c r="I1501" s="37">
        <v>1.45</v>
      </c>
      <c r="J1501" s="37">
        <v>5766.65</v>
      </c>
      <c r="K1501" s="35">
        <v>57</v>
      </c>
      <c r="L1501" s="37">
        <v>101.17</v>
      </c>
      <c r="M1501" s="37">
        <v>15175.48</v>
      </c>
      <c r="N1501" s="38">
        <v>2.63</v>
      </c>
    </row>
    <row r="1502" spans="1:14" x14ac:dyDescent="0.3">
      <c r="A1502" s="33">
        <v>45631</v>
      </c>
      <c r="B1502" s="34" t="s">
        <v>74</v>
      </c>
      <c r="C1502" s="34" t="s">
        <v>61</v>
      </c>
      <c r="D1502" s="34" t="s">
        <v>71</v>
      </c>
      <c r="E1502" s="34" t="s">
        <v>66</v>
      </c>
      <c r="F1502" s="35">
        <v>129790</v>
      </c>
      <c r="G1502" s="35">
        <v>5697</v>
      </c>
      <c r="H1502" s="36">
        <v>4.3900000000000002E-2</v>
      </c>
      <c r="I1502" s="37">
        <v>0.52</v>
      </c>
      <c r="J1502" s="37">
        <v>2962.44</v>
      </c>
      <c r="K1502" s="35">
        <v>223</v>
      </c>
      <c r="L1502" s="37">
        <v>13.28</v>
      </c>
      <c r="M1502" s="37">
        <v>58627.34</v>
      </c>
      <c r="N1502" s="38">
        <v>19.79</v>
      </c>
    </row>
    <row r="1503" spans="1:14" x14ac:dyDescent="0.3">
      <c r="A1503" s="33">
        <v>45644</v>
      </c>
      <c r="B1503" s="34" t="s">
        <v>60</v>
      </c>
      <c r="C1503" s="34" t="s">
        <v>67</v>
      </c>
      <c r="D1503" s="34" t="s">
        <v>68</v>
      </c>
      <c r="E1503" s="34" t="s">
        <v>77</v>
      </c>
      <c r="F1503" s="35">
        <v>184982</v>
      </c>
      <c r="G1503" s="35">
        <v>4772</v>
      </c>
      <c r="H1503" s="36">
        <v>2.58E-2</v>
      </c>
      <c r="I1503" s="37">
        <v>3.08</v>
      </c>
      <c r="J1503" s="37">
        <v>14697.76</v>
      </c>
      <c r="K1503" s="35">
        <v>141</v>
      </c>
      <c r="L1503" s="37">
        <v>104.24</v>
      </c>
      <c r="M1503" s="37">
        <v>26098.46</v>
      </c>
      <c r="N1503" s="38">
        <v>1.78</v>
      </c>
    </row>
    <row r="1504" spans="1:14" x14ac:dyDescent="0.3">
      <c r="A1504" s="33">
        <v>45520</v>
      </c>
      <c r="B1504" s="34" t="s">
        <v>60</v>
      </c>
      <c r="C1504" s="34" t="s">
        <v>61</v>
      </c>
      <c r="D1504" s="34" t="s">
        <v>62</v>
      </c>
      <c r="E1504" s="34" t="s">
        <v>66</v>
      </c>
      <c r="F1504" s="35">
        <v>166673</v>
      </c>
      <c r="G1504" s="35">
        <v>4733</v>
      </c>
      <c r="H1504" s="36">
        <v>2.8400000000000002E-2</v>
      </c>
      <c r="I1504" s="37">
        <v>0.84</v>
      </c>
      <c r="J1504" s="37">
        <v>3975.72</v>
      </c>
      <c r="K1504" s="35">
        <v>336</v>
      </c>
      <c r="L1504" s="37">
        <v>11.83</v>
      </c>
      <c r="M1504" s="37">
        <v>98987.51</v>
      </c>
      <c r="N1504" s="38">
        <v>24.9</v>
      </c>
    </row>
    <row r="1505" spans="1:14" x14ac:dyDescent="0.3">
      <c r="A1505" s="33">
        <v>45448</v>
      </c>
      <c r="B1505" s="34" t="s">
        <v>60</v>
      </c>
      <c r="C1505" s="34" t="s">
        <v>67</v>
      </c>
      <c r="D1505" s="34" t="s">
        <v>65</v>
      </c>
      <c r="E1505" s="34" t="s">
        <v>63</v>
      </c>
      <c r="F1505" s="35">
        <v>109148</v>
      </c>
      <c r="G1505" s="35">
        <v>3951</v>
      </c>
      <c r="H1505" s="36">
        <v>3.6200000000000003E-2</v>
      </c>
      <c r="I1505" s="37">
        <v>1.79</v>
      </c>
      <c r="J1505" s="37">
        <v>7072.29</v>
      </c>
      <c r="K1505" s="35">
        <v>249</v>
      </c>
      <c r="L1505" s="37">
        <v>28.4</v>
      </c>
      <c r="M1505" s="37">
        <v>56329.34</v>
      </c>
      <c r="N1505" s="38">
        <v>7.96</v>
      </c>
    </row>
    <row r="1506" spans="1:14" x14ac:dyDescent="0.3">
      <c r="A1506" s="33">
        <v>45652</v>
      </c>
      <c r="B1506" s="34" t="s">
        <v>60</v>
      </c>
      <c r="C1506" s="34" t="s">
        <v>67</v>
      </c>
      <c r="D1506" s="34" t="s">
        <v>65</v>
      </c>
      <c r="E1506" s="34" t="s">
        <v>69</v>
      </c>
      <c r="F1506" s="35">
        <v>173700</v>
      </c>
      <c r="G1506" s="35">
        <v>7208</v>
      </c>
      <c r="H1506" s="36">
        <v>4.1500000000000002E-2</v>
      </c>
      <c r="I1506" s="37">
        <v>2.29</v>
      </c>
      <c r="J1506" s="37">
        <v>16506.32</v>
      </c>
      <c r="K1506" s="35">
        <v>178</v>
      </c>
      <c r="L1506" s="37">
        <v>92.73</v>
      </c>
      <c r="M1506" s="37">
        <v>32171.360000000001</v>
      </c>
      <c r="N1506" s="38">
        <v>1.95</v>
      </c>
    </row>
    <row r="1507" spans="1:14" x14ac:dyDescent="0.3">
      <c r="A1507" s="33">
        <v>45409</v>
      </c>
      <c r="B1507" s="34" t="s">
        <v>74</v>
      </c>
      <c r="C1507" s="34" t="s">
        <v>67</v>
      </c>
      <c r="D1507" s="34" t="s">
        <v>65</v>
      </c>
      <c r="E1507" s="34" t="s">
        <v>63</v>
      </c>
      <c r="F1507" s="35">
        <v>173001</v>
      </c>
      <c r="G1507" s="35">
        <v>3477</v>
      </c>
      <c r="H1507" s="36">
        <v>2.01E-2</v>
      </c>
      <c r="I1507" s="37">
        <v>0.95</v>
      </c>
      <c r="J1507" s="37">
        <v>3303.15</v>
      </c>
      <c r="K1507" s="35">
        <v>51</v>
      </c>
      <c r="L1507" s="37">
        <v>64.77</v>
      </c>
      <c r="M1507" s="37">
        <v>11186.61</v>
      </c>
      <c r="N1507" s="38">
        <v>3.39</v>
      </c>
    </row>
    <row r="1508" spans="1:14" x14ac:dyDescent="0.3">
      <c r="A1508" s="33">
        <v>45320</v>
      </c>
      <c r="B1508" s="34" t="s">
        <v>74</v>
      </c>
      <c r="C1508" s="34" t="s">
        <v>61</v>
      </c>
      <c r="D1508" s="34" t="s">
        <v>62</v>
      </c>
      <c r="E1508" s="34" t="s">
        <v>66</v>
      </c>
      <c r="F1508" s="35">
        <v>56534</v>
      </c>
      <c r="G1508" s="35">
        <v>1079</v>
      </c>
      <c r="H1508" s="36">
        <v>1.9099999999999999E-2</v>
      </c>
      <c r="I1508" s="37">
        <v>0.6</v>
      </c>
      <c r="J1508" s="37">
        <v>647.4</v>
      </c>
      <c r="K1508" s="35">
        <v>27</v>
      </c>
      <c r="L1508" s="37">
        <v>23.98</v>
      </c>
      <c r="M1508" s="37">
        <v>4508.3900000000003</v>
      </c>
      <c r="N1508" s="38">
        <v>6.96</v>
      </c>
    </row>
    <row r="1509" spans="1:14" x14ac:dyDescent="0.3">
      <c r="A1509" s="33">
        <v>45641</v>
      </c>
      <c r="B1509" s="34" t="s">
        <v>60</v>
      </c>
      <c r="C1509" s="34" t="s">
        <v>61</v>
      </c>
      <c r="D1509" s="34" t="s">
        <v>68</v>
      </c>
      <c r="E1509" s="34" t="s">
        <v>78</v>
      </c>
      <c r="F1509" s="35">
        <v>58520</v>
      </c>
      <c r="G1509" s="35">
        <v>3604</v>
      </c>
      <c r="H1509" s="36">
        <v>6.1600000000000002E-2</v>
      </c>
      <c r="I1509" s="37">
        <v>1.48</v>
      </c>
      <c r="J1509" s="37">
        <v>5333.92</v>
      </c>
      <c r="K1509" s="35">
        <v>265</v>
      </c>
      <c r="L1509" s="37">
        <v>20.13</v>
      </c>
      <c r="M1509" s="37">
        <v>78186.23</v>
      </c>
      <c r="N1509" s="38">
        <v>14.66</v>
      </c>
    </row>
    <row r="1510" spans="1:14" x14ac:dyDescent="0.3">
      <c r="A1510" s="33">
        <v>45545</v>
      </c>
      <c r="B1510" s="34" t="s">
        <v>60</v>
      </c>
      <c r="C1510" s="34" t="s">
        <v>67</v>
      </c>
      <c r="D1510" s="34" t="s">
        <v>68</v>
      </c>
      <c r="E1510" s="34" t="s">
        <v>73</v>
      </c>
      <c r="F1510" s="35">
        <v>111071</v>
      </c>
      <c r="G1510" s="35">
        <v>2865</v>
      </c>
      <c r="H1510" s="36">
        <v>2.58E-2</v>
      </c>
      <c r="I1510" s="37">
        <v>2.83</v>
      </c>
      <c r="J1510" s="37">
        <v>8107.95</v>
      </c>
      <c r="K1510" s="35">
        <v>39</v>
      </c>
      <c r="L1510" s="37">
        <v>207.9</v>
      </c>
      <c r="M1510" s="37">
        <v>8971.2800000000007</v>
      </c>
      <c r="N1510" s="38">
        <v>1.1100000000000001</v>
      </c>
    </row>
    <row r="1511" spans="1:14" x14ac:dyDescent="0.3">
      <c r="A1511" s="33">
        <v>45390</v>
      </c>
      <c r="B1511" s="34" t="s">
        <v>60</v>
      </c>
      <c r="C1511" s="34" t="s">
        <v>70</v>
      </c>
      <c r="D1511" s="34" t="s">
        <v>71</v>
      </c>
      <c r="E1511" s="34" t="s">
        <v>77</v>
      </c>
      <c r="F1511" s="35">
        <v>153750</v>
      </c>
      <c r="G1511" s="35">
        <v>4920</v>
      </c>
      <c r="H1511" s="36">
        <v>3.2000000000000001E-2</v>
      </c>
      <c r="I1511" s="37">
        <v>2.98</v>
      </c>
      <c r="J1511" s="37">
        <v>14661.6</v>
      </c>
      <c r="K1511" s="35">
        <v>117</v>
      </c>
      <c r="L1511" s="37">
        <v>125.31</v>
      </c>
      <c r="M1511" s="37">
        <v>30000.6</v>
      </c>
      <c r="N1511" s="38">
        <v>2.0499999999999998</v>
      </c>
    </row>
    <row r="1512" spans="1:14" x14ac:dyDescent="0.3">
      <c r="A1512" s="33">
        <v>45414</v>
      </c>
      <c r="B1512" s="34" t="s">
        <v>74</v>
      </c>
      <c r="C1512" s="34" t="s">
        <v>75</v>
      </c>
      <c r="D1512" s="34" t="s">
        <v>71</v>
      </c>
      <c r="E1512" s="34" t="s">
        <v>69</v>
      </c>
      <c r="F1512" s="35">
        <v>108717</v>
      </c>
      <c r="G1512" s="35">
        <v>1435</v>
      </c>
      <c r="H1512" s="36">
        <v>1.32E-2</v>
      </c>
      <c r="I1512" s="37">
        <v>1.75</v>
      </c>
      <c r="J1512" s="37">
        <v>2511.25</v>
      </c>
      <c r="K1512" s="35">
        <v>108</v>
      </c>
      <c r="L1512" s="37">
        <v>23.25</v>
      </c>
      <c r="M1512" s="37">
        <v>22074.54</v>
      </c>
      <c r="N1512" s="38">
        <v>8.7899999999999991</v>
      </c>
    </row>
    <row r="1513" spans="1:14" x14ac:dyDescent="0.3">
      <c r="A1513" s="33">
        <v>45456</v>
      </c>
      <c r="B1513" s="34" t="s">
        <v>60</v>
      </c>
      <c r="C1513" s="34" t="s">
        <v>70</v>
      </c>
      <c r="D1513" s="34" t="s">
        <v>76</v>
      </c>
      <c r="E1513" s="34" t="s">
        <v>77</v>
      </c>
      <c r="F1513" s="35">
        <v>141455</v>
      </c>
      <c r="G1513" s="35">
        <v>2673</v>
      </c>
      <c r="H1513" s="36">
        <v>1.89E-2</v>
      </c>
      <c r="I1513" s="37">
        <v>2.82</v>
      </c>
      <c r="J1513" s="37">
        <v>7537.86</v>
      </c>
      <c r="K1513" s="35">
        <v>122</v>
      </c>
      <c r="L1513" s="37">
        <v>61.79</v>
      </c>
      <c r="M1513" s="37">
        <v>19810.32</v>
      </c>
      <c r="N1513" s="38">
        <v>2.63</v>
      </c>
    </row>
    <row r="1514" spans="1:14" x14ac:dyDescent="0.3">
      <c r="A1514" s="33">
        <v>45630</v>
      </c>
      <c r="B1514" s="34" t="s">
        <v>74</v>
      </c>
      <c r="C1514" s="34" t="s">
        <v>61</v>
      </c>
      <c r="D1514" s="34" t="s">
        <v>68</v>
      </c>
      <c r="E1514" s="34" t="s">
        <v>69</v>
      </c>
      <c r="F1514" s="35">
        <v>158742</v>
      </c>
      <c r="G1514" s="35">
        <v>5778</v>
      </c>
      <c r="H1514" s="36">
        <v>3.6400000000000002E-2</v>
      </c>
      <c r="I1514" s="37">
        <v>2.17</v>
      </c>
      <c r="J1514" s="37">
        <v>12538.26</v>
      </c>
      <c r="K1514" s="35">
        <v>388</v>
      </c>
      <c r="L1514" s="37">
        <v>32.32</v>
      </c>
      <c r="M1514" s="37">
        <v>68610.11</v>
      </c>
      <c r="N1514" s="38">
        <v>5.47</v>
      </c>
    </row>
    <row r="1515" spans="1:14" x14ac:dyDescent="0.3">
      <c r="A1515" s="33">
        <v>45408</v>
      </c>
      <c r="B1515" s="34" t="s">
        <v>74</v>
      </c>
      <c r="C1515" s="34" t="s">
        <v>61</v>
      </c>
      <c r="D1515" s="34" t="s">
        <v>76</v>
      </c>
      <c r="E1515" s="34" t="s">
        <v>72</v>
      </c>
      <c r="F1515" s="35">
        <v>26845</v>
      </c>
      <c r="G1515" s="35">
        <v>528</v>
      </c>
      <c r="H1515" s="36">
        <v>1.9699999999999999E-2</v>
      </c>
      <c r="I1515" s="37">
        <v>2.08</v>
      </c>
      <c r="J1515" s="37">
        <v>1098.24</v>
      </c>
      <c r="K1515" s="35">
        <v>11</v>
      </c>
      <c r="L1515" s="37">
        <v>99.84</v>
      </c>
      <c r="M1515" s="37">
        <v>1590.52</v>
      </c>
      <c r="N1515" s="38">
        <v>1.45</v>
      </c>
    </row>
    <row r="1516" spans="1:14" x14ac:dyDescent="0.3">
      <c r="A1516" s="33">
        <v>45570</v>
      </c>
      <c r="B1516" s="34" t="s">
        <v>60</v>
      </c>
      <c r="C1516" s="34" t="s">
        <v>67</v>
      </c>
      <c r="D1516" s="34" t="s">
        <v>62</v>
      </c>
      <c r="E1516" s="34" t="s">
        <v>69</v>
      </c>
      <c r="F1516" s="35">
        <v>92332</v>
      </c>
      <c r="G1516" s="35">
        <v>5336</v>
      </c>
      <c r="H1516" s="36">
        <v>5.7799999999999997E-2</v>
      </c>
      <c r="I1516" s="37">
        <v>0.94</v>
      </c>
      <c r="J1516" s="37">
        <v>5015.84</v>
      </c>
      <c r="K1516" s="35">
        <v>213</v>
      </c>
      <c r="L1516" s="37">
        <v>23.55</v>
      </c>
      <c r="M1516" s="37">
        <v>39347.29</v>
      </c>
      <c r="N1516" s="38">
        <v>7.84</v>
      </c>
    </row>
    <row r="1517" spans="1:14" x14ac:dyDescent="0.3">
      <c r="A1517" s="33">
        <v>45540</v>
      </c>
      <c r="B1517" s="34" t="s">
        <v>60</v>
      </c>
      <c r="C1517" s="34" t="s">
        <v>61</v>
      </c>
      <c r="D1517" s="34" t="s">
        <v>76</v>
      </c>
      <c r="E1517" s="34" t="s">
        <v>77</v>
      </c>
      <c r="F1517" s="35">
        <v>90953</v>
      </c>
      <c r="G1517" s="35">
        <v>4365</v>
      </c>
      <c r="H1517" s="36">
        <v>4.8000000000000001E-2</v>
      </c>
      <c r="I1517" s="37">
        <v>3.04</v>
      </c>
      <c r="J1517" s="37">
        <v>13269.6</v>
      </c>
      <c r="K1517" s="35">
        <v>73</v>
      </c>
      <c r="L1517" s="37">
        <v>181.78</v>
      </c>
      <c r="M1517" s="37">
        <v>19836.75</v>
      </c>
      <c r="N1517" s="38">
        <v>1.49</v>
      </c>
    </row>
    <row r="1518" spans="1:14" x14ac:dyDescent="0.3">
      <c r="A1518" s="33">
        <v>45561</v>
      </c>
      <c r="B1518" s="34" t="s">
        <v>74</v>
      </c>
      <c r="C1518" s="34" t="s">
        <v>70</v>
      </c>
      <c r="D1518" s="34" t="s">
        <v>71</v>
      </c>
      <c r="E1518" s="34" t="s">
        <v>73</v>
      </c>
      <c r="F1518" s="35">
        <v>15047</v>
      </c>
      <c r="G1518" s="35">
        <v>368</v>
      </c>
      <c r="H1518" s="36">
        <v>2.4500000000000001E-2</v>
      </c>
      <c r="I1518" s="37">
        <v>1.06</v>
      </c>
      <c r="J1518" s="37">
        <v>390.08</v>
      </c>
      <c r="K1518" s="35">
        <v>27</v>
      </c>
      <c r="L1518" s="37">
        <v>14.45</v>
      </c>
      <c r="M1518" s="37">
        <v>6244.19</v>
      </c>
      <c r="N1518" s="38">
        <v>16.010000000000002</v>
      </c>
    </row>
    <row r="1519" spans="1:14" x14ac:dyDescent="0.3">
      <c r="A1519" s="33">
        <v>45394</v>
      </c>
      <c r="B1519" s="34" t="s">
        <v>60</v>
      </c>
      <c r="C1519" s="34" t="s">
        <v>61</v>
      </c>
      <c r="D1519" s="34" t="s">
        <v>68</v>
      </c>
      <c r="E1519" s="34" t="s">
        <v>63</v>
      </c>
      <c r="F1519" s="35">
        <v>57632</v>
      </c>
      <c r="G1519" s="35">
        <v>1256</v>
      </c>
      <c r="H1519" s="36">
        <v>2.18E-2</v>
      </c>
      <c r="I1519" s="37">
        <v>1.75</v>
      </c>
      <c r="J1519" s="37">
        <v>2198</v>
      </c>
      <c r="K1519" s="35">
        <v>20</v>
      </c>
      <c r="L1519" s="37">
        <v>109.9</v>
      </c>
      <c r="M1519" s="37">
        <v>1647.61</v>
      </c>
      <c r="N1519" s="38">
        <v>0.75</v>
      </c>
    </row>
    <row r="1520" spans="1:14" x14ac:dyDescent="0.3">
      <c r="A1520" s="33">
        <v>45593</v>
      </c>
      <c r="B1520" s="34" t="s">
        <v>64</v>
      </c>
      <c r="C1520" s="34" t="s">
        <v>70</v>
      </c>
      <c r="D1520" s="34" t="s">
        <v>65</v>
      </c>
      <c r="E1520" s="34" t="s">
        <v>63</v>
      </c>
      <c r="F1520" s="35">
        <v>193568</v>
      </c>
      <c r="G1520" s="35">
        <v>12659</v>
      </c>
      <c r="H1520" s="36">
        <v>6.54E-2</v>
      </c>
      <c r="I1520" s="37">
        <v>1.24</v>
      </c>
      <c r="J1520" s="37">
        <v>15697.16</v>
      </c>
      <c r="K1520" s="35">
        <v>366</v>
      </c>
      <c r="L1520" s="37">
        <v>42.89</v>
      </c>
      <c r="M1520" s="37">
        <v>17585.84</v>
      </c>
      <c r="N1520" s="38">
        <v>1.1200000000000001</v>
      </c>
    </row>
    <row r="1521" spans="1:14" x14ac:dyDescent="0.3">
      <c r="A1521" s="33">
        <v>45433</v>
      </c>
      <c r="B1521" s="34" t="s">
        <v>60</v>
      </c>
      <c r="C1521" s="34" t="s">
        <v>67</v>
      </c>
      <c r="D1521" s="34" t="s">
        <v>71</v>
      </c>
      <c r="E1521" s="34" t="s">
        <v>72</v>
      </c>
      <c r="F1521" s="35">
        <v>30343</v>
      </c>
      <c r="G1521" s="35">
        <v>743</v>
      </c>
      <c r="H1521" s="36">
        <v>2.4500000000000001E-2</v>
      </c>
      <c r="I1521" s="37">
        <v>3.05</v>
      </c>
      <c r="J1521" s="37">
        <v>2266.15</v>
      </c>
      <c r="K1521" s="35">
        <v>39</v>
      </c>
      <c r="L1521" s="37">
        <v>58.11</v>
      </c>
      <c r="M1521" s="37">
        <v>7450.31</v>
      </c>
      <c r="N1521" s="38">
        <v>3.29</v>
      </c>
    </row>
    <row r="1522" spans="1:14" x14ac:dyDescent="0.3">
      <c r="A1522" s="33">
        <v>45527</v>
      </c>
      <c r="B1522" s="34" t="s">
        <v>74</v>
      </c>
      <c r="C1522" s="34" t="s">
        <v>75</v>
      </c>
      <c r="D1522" s="34" t="s">
        <v>71</v>
      </c>
      <c r="E1522" s="34" t="s">
        <v>72</v>
      </c>
      <c r="F1522" s="35">
        <v>6903</v>
      </c>
      <c r="G1522" s="35">
        <v>225</v>
      </c>
      <c r="H1522" s="36">
        <v>3.2599999999999997E-2</v>
      </c>
      <c r="I1522" s="37">
        <v>1.92</v>
      </c>
      <c r="J1522" s="37">
        <v>432</v>
      </c>
      <c r="K1522" s="35">
        <v>7</v>
      </c>
      <c r="L1522" s="37">
        <v>61.71</v>
      </c>
      <c r="M1522" s="37">
        <v>513.46</v>
      </c>
      <c r="N1522" s="38">
        <v>1.19</v>
      </c>
    </row>
    <row r="1523" spans="1:14" x14ac:dyDescent="0.3">
      <c r="A1523" s="33">
        <v>45340</v>
      </c>
      <c r="B1523" s="34" t="s">
        <v>64</v>
      </c>
      <c r="C1523" s="34" t="s">
        <v>75</v>
      </c>
      <c r="D1523" s="34" t="s">
        <v>71</v>
      </c>
      <c r="E1523" s="34" t="s">
        <v>69</v>
      </c>
      <c r="F1523" s="35">
        <v>194291</v>
      </c>
      <c r="G1523" s="35">
        <v>9248</v>
      </c>
      <c r="H1523" s="36">
        <v>4.7600000000000003E-2</v>
      </c>
      <c r="I1523" s="37">
        <v>1.08</v>
      </c>
      <c r="J1523" s="37">
        <v>9987.84</v>
      </c>
      <c r="K1523" s="35">
        <v>669</v>
      </c>
      <c r="L1523" s="37">
        <v>14.93</v>
      </c>
      <c r="M1523" s="37">
        <v>34771.85</v>
      </c>
      <c r="N1523" s="38">
        <v>3.48</v>
      </c>
    </row>
    <row r="1524" spans="1:14" x14ac:dyDescent="0.3">
      <c r="A1524" s="33">
        <v>45513</v>
      </c>
      <c r="B1524" s="34" t="s">
        <v>74</v>
      </c>
      <c r="C1524" s="34" t="s">
        <v>70</v>
      </c>
      <c r="D1524" s="34" t="s">
        <v>68</v>
      </c>
      <c r="E1524" s="34" t="s">
        <v>77</v>
      </c>
      <c r="F1524" s="35">
        <v>25704</v>
      </c>
      <c r="G1524" s="35">
        <v>616</v>
      </c>
      <c r="H1524" s="36">
        <v>2.4E-2</v>
      </c>
      <c r="I1524" s="37">
        <v>1</v>
      </c>
      <c r="J1524" s="37">
        <v>616</v>
      </c>
      <c r="K1524" s="35">
        <v>18</v>
      </c>
      <c r="L1524" s="37">
        <v>34.22</v>
      </c>
      <c r="M1524" s="37">
        <v>2381.36</v>
      </c>
      <c r="N1524" s="38">
        <v>3.87</v>
      </c>
    </row>
    <row r="1525" spans="1:14" x14ac:dyDescent="0.3">
      <c r="A1525" s="33">
        <v>45443</v>
      </c>
      <c r="B1525" s="34" t="s">
        <v>60</v>
      </c>
      <c r="C1525" s="34" t="s">
        <v>75</v>
      </c>
      <c r="D1525" s="34" t="s">
        <v>68</v>
      </c>
      <c r="E1525" s="34" t="s">
        <v>72</v>
      </c>
      <c r="F1525" s="35">
        <v>18696</v>
      </c>
      <c r="G1525" s="35">
        <v>327</v>
      </c>
      <c r="H1525" s="36">
        <v>1.7500000000000002E-2</v>
      </c>
      <c r="I1525" s="37">
        <v>2.61</v>
      </c>
      <c r="J1525" s="37">
        <v>853.47</v>
      </c>
      <c r="K1525" s="35">
        <v>8</v>
      </c>
      <c r="L1525" s="37">
        <v>106.68</v>
      </c>
      <c r="M1525" s="37">
        <v>1284.99</v>
      </c>
      <c r="N1525" s="38">
        <v>1.51</v>
      </c>
    </row>
    <row r="1526" spans="1:14" x14ac:dyDescent="0.3">
      <c r="A1526" s="33">
        <v>45338</v>
      </c>
      <c r="B1526" s="34" t="s">
        <v>74</v>
      </c>
      <c r="C1526" s="34" t="s">
        <v>67</v>
      </c>
      <c r="D1526" s="34" t="s">
        <v>65</v>
      </c>
      <c r="E1526" s="34" t="s">
        <v>66</v>
      </c>
      <c r="F1526" s="35">
        <v>165408</v>
      </c>
      <c r="G1526" s="35">
        <v>1670</v>
      </c>
      <c r="H1526" s="36">
        <v>1.01E-2</v>
      </c>
      <c r="I1526" s="37">
        <v>1.3</v>
      </c>
      <c r="J1526" s="37">
        <v>2171</v>
      </c>
      <c r="K1526" s="35">
        <v>80</v>
      </c>
      <c r="L1526" s="37">
        <v>27.14</v>
      </c>
      <c r="M1526" s="37">
        <v>9561</v>
      </c>
      <c r="N1526" s="38">
        <v>4.4000000000000004</v>
      </c>
    </row>
    <row r="1527" spans="1:14" x14ac:dyDescent="0.3">
      <c r="A1527" s="33">
        <v>45396</v>
      </c>
      <c r="B1527" s="34" t="s">
        <v>60</v>
      </c>
      <c r="C1527" s="34" t="s">
        <v>61</v>
      </c>
      <c r="D1527" s="34" t="s">
        <v>76</v>
      </c>
      <c r="E1527" s="34" t="s">
        <v>78</v>
      </c>
      <c r="F1527" s="35">
        <v>191372</v>
      </c>
      <c r="G1527" s="35">
        <v>11711</v>
      </c>
      <c r="H1527" s="36">
        <v>6.1199999999999997E-2</v>
      </c>
      <c r="I1527" s="37">
        <v>2.48</v>
      </c>
      <c r="J1527" s="37">
        <v>29043.279999999999</v>
      </c>
      <c r="K1527" s="35">
        <v>335</v>
      </c>
      <c r="L1527" s="37">
        <v>86.7</v>
      </c>
      <c r="M1527" s="37">
        <v>75028.42</v>
      </c>
      <c r="N1527" s="38">
        <v>2.58</v>
      </c>
    </row>
    <row r="1528" spans="1:14" x14ac:dyDescent="0.3">
      <c r="A1528" s="33">
        <v>45541</v>
      </c>
      <c r="B1528" s="34" t="s">
        <v>74</v>
      </c>
      <c r="C1528" s="34" t="s">
        <v>75</v>
      </c>
      <c r="D1528" s="34" t="s">
        <v>65</v>
      </c>
      <c r="E1528" s="34" t="s">
        <v>69</v>
      </c>
      <c r="F1528" s="35">
        <v>71247</v>
      </c>
      <c r="G1528" s="35">
        <v>1888</v>
      </c>
      <c r="H1528" s="36">
        <v>2.6499999999999999E-2</v>
      </c>
      <c r="I1528" s="37">
        <v>0.47</v>
      </c>
      <c r="J1528" s="37">
        <v>887.36</v>
      </c>
      <c r="K1528" s="35">
        <v>57</v>
      </c>
      <c r="L1528" s="37">
        <v>15.57</v>
      </c>
      <c r="M1528" s="37">
        <v>9045.86</v>
      </c>
      <c r="N1528" s="38">
        <v>10.19</v>
      </c>
    </row>
    <row r="1529" spans="1:14" x14ac:dyDescent="0.3">
      <c r="A1529" s="33">
        <v>45393</v>
      </c>
      <c r="B1529" s="34" t="s">
        <v>64</v>
      </c>
      <c r="C1529" s="34" t="s">
        <v>61</v>
      </c>
      <c r="D1529" s="34" t="s">
        <v>62</v>
      </c>
      <c r="E1529" s="34" t="s">
        <v>63</v>
      </c>
      <c r="F1529" s="35">
        <v>132294</v>
      </c>
      <c r="G1529" s="35">
        <v>7527</v>
      </c>
      <c r="H1529" s="36">
        <v>5.6899999999999999E-2</v>
      </c>
      <c r="I1529" s="37">
        <v>0.9</v>
      </c>
      <c r="J1529" s="37">
        <v>6774.3</v>
      </c>
      <c r="K1529" s="35">
        <v>262</v>
      </c>
      <c r="L1529" s="37">
        <v>25.86</v>
      </c>
      <c r="M1529" s="37">
        <v>50030.33</v>
      </c>
      <c r="N1529" s="38">
        <v>7.39</v>
      </c>
    </row>
    <row r="1530" spans="1:14" x14ac:dyDescent="0.3">
      <c r="A1530" s="33">
        <v>45655</v>
      </c>
      <c r="B1530" s="34" t="s">
        <v>64</v>
      </c>
      <c r="C1530" s="34" t="s">
        <v>75</v>
      </c>
      <c r="D1530" s="34" t="s">
        <v>76</v>
      </c>
      <c r="E1530" s="34" t="s">
        <v>72</v>
      </c>
      <c r="F1530" s="35">
        <v>66086</v>
      </c>
      <c r="G1530" s="35">
        <v>3317</v>
      </c>
      <c r="H1530" s="36">
        <v>5.0200000000000002E-2</v>
      </c>
      <c r="I1530" s="37">
        <v>0.33</v>
      </c>
      <c r="J1530" s="37">
        <v>1094.6099999999999</v>
      </c>
      <c r="K1530" s="35">
        <v>206</v>
      </c>
      <c r="L1530" s="37">
        <v>5.31</v>
      </c>
      <c r="M1530" s="37">
        <v>51119.73</v>
      </c>
      <c r="N1530" s="38">
        <v>46.7</v>
      </c>
    </row>
    <row r="1531" spans="1:14" x14ac:dyDescent="0.3">
      <c r="A1531" s="33">
        <v>45649</v>
      </c>
      <c r="B1531" s="34" t="s">
        <v>60</v>
      </c>
      <c r="C1531" s="34" t="s">
        <v>61</v>
      </c>
      <c r="D1531" s="34" t="s">
        <v>68</v>
      </c>
      <c r="E1531" s="34" t="s">
        <v>66</v>
      </c>
      <c r="F1531" s="35">
        <v>186232</v>
      </c>
      <c r="G1531" s="35">
        <v>9292</v>
      </c>
      <c r="H1531" s="36">
        <v>4.99E-2</v>
      </c>
      <c r="I1531" s="37">
        <v>2.4</v>
      </c>
      <c r="J1531" s="37">
        <v>22300.799999999999</v>
      </c>
      <c r="K1531" s="35">
        <v>265</v>
      </c>
      <c r="L1531" s="37">
        <v>84.15</v>
      </c>
      <c r="M1531" s="37">
        <v>67766.02</v>
      </c>
      <c r="N1531" s="38">
        <v>3.04</v>
      </c>
    </row>
    <row r="1532" spans="1:14" x14ac:dyDescent="0.3">
      <c r="A1532" s="33">
        <v>45597</v>
      </c>
      <c r="B1532" s="34" t="s">
        <v>64</v>
      </c>
      <c r="C1532" s="34" t="s">
        <v>70</v>
      </c>
      <c r="D1532" s="34" t="s">
        <v>68</v>
      </c>
      <c r="E1532" s="34" t="s">
        <v>77</v>
      </c>
      <c r="F1532" s="35">
        <v>145225</v>
      </c>
      <c r="G1532" s="35">
        <v>5562</v>
      </c>
      <c r="H1532" s="36">
        <v>3.8300000000000001E-2</v>
      </c>
      <c r="I1532" s="37">
        <v>0.84</v>
      </c>
      <c r="J1532" s="37">
        <v>4672.08</v>
      </c>
      <c r="K1532" s="35">
        <v>378</v>
      </c>
      <c r="L1532" s="37">
        <v>12.36</v>
      </c>
      <c r="M1532" s="37">
        <v>102053.93</v>
      </c>
      <c r="N1532" s="38">
        <v>21.84</v>
      </c>
    </row>
    <row r="1533" spans="1:14" x14ac:dyDescent="0.3">
      <c r="A1533" s="33">
        <v>45439</v>
      </c>
      <c r="B1533" s="34" t="s">
        <v>60</v>
      </c>
      <c r="C1533" s="34" t="s">
        <v>61</v>
      </c>
      <c r="D1533" s="34" t="s">
        <v>71</v>
      </c>
      <c r="E1533" s="34" t="s">
        <v>72</v>
      </c>
      <c r="F1533" s="35">
        <v>15470</v>
      </c>
      <c r="G1533" s="35">
        <v>529</v>
      </c>
      <c r="H1533" s="36">
        <v>3.4200000000000001E-2</v>
      </c>
      <c r="I1533" s="37">
        <v>1.2</v>
      </c>
      <c r="J1533" s="37">
        <v>634.79999999999995</v>
      </c>
      <c r="K1533" s="35">
        <v>5</v>
      </c>
      <c r="L1533" s="37">
        <v>126.96</v>
      </c>
      <c r="M1533" s="37">
        <v>1223.76</v>
      </c>
      <c r="N1533" s="38">
        <v>1.93</v>
      </c>
    </row>
    <row r="1534" spans="1:14" x14ac:dyDescent="0.3">
      <c r="A1534" s="33">
        <v>45387</v>
      </c>
      <c r="B1534" s="34" t="s">
        <v>60</v>
      </c>
      <c r="C1534" s="34" t="s">
        <v>75</v>
      </c>
      <c r="D1534" s="34" t="s">
        <v>68</v>
      </c>
      <c r="E1534" s="34" t="s">
        <v>78</v>
      </c>
      <c r="F1534" s="35">
        <v>91814</v>
      </c>
      <c r="G1534" s="35">
        <v>2607</v>
      </c>
      <c r="H1534" s="36">
        <v>2.8400000000000002E-2</v>
      </c>
      <c r="I1534" s="37">
        <v>2.48</v>
      </c>
      <c r="J1534" s="37">
        <v>6465.36</v>
      </c>
      <c r="K1534" s="35">
        <v>129</v>
      </c>
      <c r="L1534" s="37">
        <v>50.12</v>
      </c>
      <c r="M1534" s="37">
        <v>25405.84</v>
      </c>
      <c r="N1534" s="38">
        <v>3.93</v>
      </c>
    </row>
    <row r="1535" spans="1:14" x14ac:dyDescent="0.3">
      <c r="A1535" s="33">
        <v>45375</v>
      </c>
      <c r="B1535" s="34" t="s">
        <v>60</v>
      </c>
      <c r="C1535" s="34" t="s">
        <v>75</v>
      </c>
      <c r="D1535" s="34" t="s">
        <v>65</v>
      </c>
      <c r="E1535" s="34" t="s">
        <v>78</v>
      </c>
      <c r="F1535" s="35">
        <v>96087</v>
      </c>
      <c r="G1535" s="35">
        <v>3238</v>
      </c>
      <c r="H1535" s="36">
        <v>3.3700000000000001E-2</v>
      </c>
      <c r="I1535" s="37">
        <v>3.04</v>
      </c>
      <c r="J1535" s="37">
        <v>9843.52</v>
      </c>
      <c r="K1535" s="35">
        <v>45</v>
      </c>
      <c r="L1535" s="37">
        <v>218.74</v>
      </c>
      <c r="M1535" s="37">
        <v>7783</v>
      </c>
      <c r="N1535" s="38">
        <v>0.79</v>
      </c>
    </row>
    <row r="1536" spans="1:14" x14ac:dyDescent="0.3">
      <c r="A1536" s="33">
        <v>45363</v>
      </c>
      <c r="B1536" s="34" t="s">
        <v>60</v>
      </c>
      <c r="C1536" s="34" t="s">
        <v>70</v>
      </c>
      <c r="D1536" s="34" t="s">
        <v>62</v>
      </c>
      <c r="E1536" s="34" t="s">
        <v>72</v>
      </c>
      <c r="F1536" s="35">
        <v>92943</v>
      </c>
      <c r="G1536" s="35">
        <v>5037</v>
      </c>
      <c r="H1536" s="36">
        <v>5.4199999999999998E-2</v>
      </c>
      <c r="I1536" s="37">
        <v>2.2599999999999998</v>
      </c>
      <c r="J1536" s="37">
        <v>11383.62</v>
      </c>
      <c r="K1536" s="35">
        <v>232</v>
      </c>
      <c r="L1536" s="37">
        <v>49.07</v>
      </c>
      <c r="M1536" s="37">
        <v>64994.16</v>
      </c>
      <c r="N1536" s="38">
        <v>5.71</v>
      </c>
    </row>
    <row r="1537" spans="1:14" x14ac:dyDescent="0.3">
      <c r="A1537" s="33">
        <v>45392</v>
      </c>
      <c r="B1537" s="34" t="s">
        <v>74</v>
      </c>
      <c r="C1537" s="34" t="s">
        <v>75</v>
      </c>
      <c r="D1537" s="34" t="s">
        <v>71</v>
      </c>
      <c r="E1537" s="34" t="s">
        <v>77</v>
      </c>
      <c r="F1537" s="35">
        <v>36411</v>
      </c>
      <c r="G1537" s="35">
        <v>873</v>
      </c>
      <c r="H1537" s="36">
        <v>2.4E-2</v>
      </c>
      <c r="I1537" s="37">
        <v>2.0299999999999998</v>
      </c>
      <c r="J1537" s="37">
        <v>1772.19</v>
      </c>
      <c r="K1537" s="35">
        <v>47</v>
      </c>
      <c r="L1537" s="37">
        <v>37.71</v>
      </c>
      <c r="M1537" s="37">
        <v>13565.96</v>
      </c>
      <c r="N1537" s="38">
        <v>7.65</v>
      </c>
    </row>
    <row r="1538" spans="1:14" x14ac:dyDescent="0.3">
      <c r="A1538" s="33">
        <v>45521</v>
      </c>
      <c r="B1538" s="34" t="s">
        <v>74</v>
      </c>
      <c r="C1538" s="34" t="s">
        <v>67</v>
      </c>
      <c r="D1538" s="34" t="s">
        <v>65</v>
      </c>
      <c r="E1538" s="34" t="s">
        <v>69</v>
      </c>
      <c r="F1538" s="35">
        <v>145170</v>
      </c>
      <c r="G1538" s="35">
        <v>4688</v>
      </c>
      <c r="H1538" s="36">
        <v>3.2300000000000002E-2</v>
      </c>
      <c r="I1538" s="37">
        <v>1.75</v>
      </c>
      <c r="J1538" s="37">
        <v>8204</v>
      </c>
      <c r="K1538" s="35">
        <v>106</v>
      </c>
      <c r="L1538" s="37">
        <v>77.400000000000006</v>
      </c>
      <c r="M1538" s="37">
        <v>30413.14</v>
      </c>
      <c r="N1538" s="38">
        <v>3.71</v>
      </c>
    </row>
    <row r="1539" spans="1:14" x14ac:dyDescent="0.3">
      <c r="A1539" s="33">
        <v>45376</v>
      </c>
      <c r="B1539" s="34" t="s">
        <v>60</v>
      </c>
      <c r="C1539" s="34" t="s">
        <v>67</v>
      </c>
      <c r="D1539" s="34" t="s">
        <v>76</v>
      </c>
      <c r="E1539" s="34" t="s">
        <v>72</v>
      </c>
      <c r="F1539" s="35">
        <v>146428</v>
      </c>
      <c r="G1539" s="35">
        <v>2796</v>
      </c>
      <c r="H1539" s="36">
        <v>1.9099999999999999E-2</v>
      </c>
      <c r="I1539" s="37">
        <v>2.2400000000000002</v>
      </c>
      <c r="J1539" s="37">
        <v>6263.04</v>
      </c>
      <c r="K1539" s="35">
        <v>164</v>
      </c>
      <c r="L1539" s="37">
        <v>38.19</v>
      </c>
      <c r="M1539" s="37">
        <v>33829.22</v>
      </c>
      <c r="N1539" s="38">
        <v>5.4</v>
      </c>
    </row>
    <row r="1540" spans="1:14" x14ac:dyDescent="0.3">
      <c r="A1540" s="33">
        <v>45532</v>
      </c>
      <c r="B1540" s="34" t="s">
        <v>60</v>
      </c>
      <c r="C1540" s="34" t="s">
        <v>61</v>
      </c>
      <c r="D1540" s="34" t="s">
        <v>62</v>
      </c>
      <c r="E1540" s="34" t="s">
        <v>72</v>
      </c>
      <c r="F1540" s="35">
        <v>151772</v>
      </c>
      <c r="G1540" s="35">
        <v>6237</v>
      </c>
      <c r="H1540" s="36">
        <v>4.1099999999999998E-2</v>
      </c>
      <c r="I1540" s="37">
        <v>1.02</v>
      </c>
      <c r="J1540" s="37">
        <v>6361.74</v>
      </c>
      <c r="K1540" s="35">
        <v>302</v>
      </c>
      <c r="L1540" s="37">
        <v>21.07</v>
      </c>
      <c r="M1540" s="37">
        <v>77929.210000000006</v>
      </c>
      <c r="N1540" s="38">
        <v>12.25</v>
      </c>
    </row>
    <row r="1541" spans="1:14" x14ac:dyDescent="0.3">
      <c r="A1541" s="33">
        <v>45310</v>
      </c>
      <c r="B1541" s="34" t="s">
        <v>64</v>
      </c>
      <c r="C1541" s="34" t="s">
        <v>61</v>
      </c>
      <c r="D1541" s="34" t="s">
        <v>76</v>
      </c>
      <c r="E1541" s="34" t="s">
        <v>69</v>
      </c>
      <c r="F1541" s="35">
        <v>179561</v>
      </c>
      <c r="G1541" s="35">
        <v>8600</v>
      </c>
      <c r="H1541" s="36">
        <v>4.7899999999999998E-2</v>
      </c>
      <c r="I1541" s="37">
        <v>1.44</v>
      </c>
      <c r="J1541" s="37">
        <v>12384</v>
      </c>
      <c r="K1541" s="35">
        <v>212</v>
      </c>
      <c r="L1541" s="37">
        <v>58.42</v>
      </c>
      <c r="M1541" s="37">
        <v>34386.07</v>
      </c>
      <c r="N1541" s="38">
        <v>2.78</v>
      </c>
    </row>
    <row r="1542" spans="1:14" x14ac:dyDescent="0.3">
      <c r="A1542" s="33">
        <v>45546</v>
      </c>
      <c r="B1542" s="34" t="s">
        <v>60</v>
      </c>
      <c r="C1542" s="34" t="s">
        <v>61</v>
      </c>
      <c r="D1542" s="34" t="s">
        <v>65</v>
      </c>
      <c r="E1542" s="34" t="s">
        <v>63</v>
      </c>
      <c r="F1542" s="35">
        <v>100381</v>
      </c>
      <c r="G1542" s="35">
        <v>5691</v>
      </c>
      <c r="H1542" s="36">
        <v>5.67E-2</v>
      </c>
      <c r="I1542" s="37">
        <v>0.83</v>
      </c>
      <c r="J1542" s="37">
        <v>4723.53</v>
      </c>
      <c r="K1542" s="35">
        <v>321</v>
      </c>
      <c r="L1542" s="37">
        <v>14.72</v>
      </c>
      <c r="M1542" s="37">
        <v>58283.85</v>
      </c>
      <c r="N1542" s="38">
        <v>12.34</v>
      </c>
    </row>
    <row r="1543" spans="1:14" x14ac:dyDescent="0.3">
      <c r="A1543" s="33">
        <v>45649</v>
      </c>
      <c r="B1543" s="34" t="s">
        <v>64</v>
      </c>
      <c r="C1543" s="34" t="s">
        <v>75</v>
      </c>
      <c r="D1543" s="34" t="s">
        <v>76</v>
      </c>
      <c r="E1543" s="34" t="s">
        <v>77</v>
      </c>
      <c r="F1543" s="35">
        <v>180552</v>
      </c>
      <c r="G1543" s="35">
        <v>6030</v>
      </c>
      <c r="H1543" s="36">
        <v>3.3399999999999999E-2</v>
      </c>
      <c r="I1543" s="37">
        <v>1.7</v>
      </c>
      <c r="J1543" s="37">
        <v>10251</v>
      </c>
      <c r="K1543" s="35">
        <v>383</v>
      </c>
      <c r="L1543" s="37">
        <v>26.77</v>
      </c>
      <c r="M1543" s="37">
        <v>23539.41</v>
      </c>
      <c r="N1543" s="38">
        <v>2.2999999999999998</v>
      </c>
    </row>
    <row r="1544" spans="1:14" x14ac:dyDescent="0.3">
      <c r="A1544" s="33">
        <v>45476</v>
      </c>
      <c r="B1544" s="34" t="s">
        <v>64</v>
      </c>
      <c r="C1544" s="34" t="s">
        <v>75</v>
      </c>
      <c r="D1544" s="34" t="s">
        <v>65</v>
      </c>
      <c r="E1544" s="34" t="s">
        <v>69</v>
      </c>
      <c r="F1544" s="35">
        <v>163328</v>
      </c>
      <c r="G1544" s="35">
        <v>4981</v>
      </c>
      <c r="H1544" s="36">
        <v>3.0499999999999999E-2</v>
      </c>
      <c r="I1544" s="37">
        <v>1.21</v>
      </c>
      <c r="J1544" s="37">
        <v>6027.01</v>
      </c>
      <c r="K1544" s="35">
        <v>142</v>
      </c>
      <c r="L1544" s="37">
        <v>42.44</v>
      </c>
      <c r="M1544" s="37">
        <v>21158.33</v>
      </c>
      <c r="N1544" s="38">
        <v>3.51</v>
      </c>
    </row>
    <row r="1545" spans="1:14" x14ac:dyDescent="0.3">
      <c r="A1545" s="33">
        <v>45446</v>
      </c>
      <c r="B1545" s="34" t="s">
        <v>64</v>
      </c>
      <c r="C1545" s="34" t="s">
        <v>75</v>
      </c>
      <c r="D1545" s="34" t="s">
        <v>65</v>
      </c>
      <c r="E1545" s="34" t="s">
        <v>69</v>
      </c>
      <c r="F1545" s="35">
        <v>93635</v>
      </c>
      <c r="G1545" s="35">
        <v>4363</v>
      </c>
      <c r="H1545" s="36">
        <v>4.6600000000000003E-2</v>
      </c>
      <c r="I1545" s="37">
        <v>1.36</v>
      </c>
      <c r="J1545" s="37">
        <v>5933.68</v>
      </c>
      <c r="K1545" s="35">
        <v>117</v>
      </c>
      <c r="L1545" s="37">
        <v>50.72</v>
      </c>
      <c r="M1545" s="37">
        <v>29999.39</v>
      </c>
      <c r="N1545" s="38">
        <v>5.0599999999999996</v>
      </c>
    </row>
    <row r="1546" spans="1:14" x14ac:dyDescent="0.3">
      <c r="A1546" s="33">
        <v>45655</v>
      </c>
      <c r="B1546" s="34" t="s">
        <v>60</v>
      </c>
      <c r="C1546" s="34" t="s">
        <v>75</v>
      </c>
      <c r="D1546" s="34" t="s">
        <v>71</v>
      </c>
      <c r="E1546" s="34" t="s">
        <v>63</v>
      </c>
      <c r="F1546" s="35">
        <v>133526</v>
      </c>
      <c r="G1546" s="35">
        <v>4633</v>
      </c>
      <c r="H1546" s="36">
        <v>3.4700000000000002E-2</v>
      </c>
      <c r="I1546" s="37">
        <v>3.07</v>
      </c>
      <c r="J1546" s="37">
        <v>14223.31</v>
      </c>
      <c r="K1546" s="35">
        <v>340</v>
      </c>
      <c r="L1546" s="37">
        <v>41.83</v>
      </c>
      <c r="M1546" s="37">
        <v>62193.85</v>
      </c>
      <c r="N1546" s="38">
        <v>4.37</v>
      </c>
    </row>
    <row r="1547" spans="1:14" x14ac:dyDescent="0.3">
      <c r="A1547" s="33">
        <v>45328</v>
      </c>
      <c r="B1547" s="34" t="s">
        <v>64</v>
      </c>
      <c r="C1547" s="34" t="s">
        <v>67</v>
      </c>
      <c r="D1547" s="34" t="s">
        <v>76</v>
      </c>
      <c r="E1547" s="34" t="s">
        <v>73</v>
      </c>
      <c r="F1547" s="35">
        <v>48475</v>
      </c>
      <c r="G1547" s="35">
        <v>3160</v>
      </c>
      <c r="H1547" s="36">
        <v>6.5199999999999994E-2</v>
      </c>
      <c r="I1547" s="37">
        <v>0.76</v>
      </c>
      <c r="J1547" s="37">
        <v>2401.6</v>
      </c>
      <c r="K1547" s="35">
        <v>124</v>
      </c>
      <c r="L1547" s="37">
        <v>19.37</v>
      </c>
      <c r="M1547" s="37">
        <v>19990.89</v>
      </c>
      <c r="N1547" s="38">
        <v>8.32</v>
      </c>
    </row>
    <row r="1548" spans="1:14" x14ac:dyDescent="0.3">
      <c r="A1548" s="33">
        <v>45609</v>
      </c>
      <c r="B1548" s="34" t="s">
        <v>64</v>
      </c>
      <c r="C1548" s="34" t="s">
        <v>67</v>
      </c>
      <c r="D1548" s="34" t="s">
        <v>62</v>
      </c>
      <c r="E1548" s="34" t="s">
        <v>77</v>
      </c>
      <c r="F1548" s="35">
        <v>195722</v>
      </c>
      <c r="G1548" s="35">
        <v>12624</v>
      </c>
      <c r="H1548" s="36">
        <v>6.4500000000000002E-2</v>
      </c>
      <c r="I1548" s="37">
        <v>2.0099999999999998</v>
      </c>
      <c r="J1548" s="37">
        <v>25374.240000000002</v>
      </c>
      <c r="K1548" s="35">
        <v>755</v>
      </c>
      <c r="L1548" s="37">
        <v>33.61</v>
      </c>
      <c r="M1548" s="37">
        <v>129016.77</v>
      </c>
      <c r="N1548" s="38">
        <v>5.08</v>
      </c>
    </row>
    <row r="1549" spans="1:14" x14ac:dyDescent="0.3">
      <c r="A1549" s="33">
        <v>45416</v>
      </c>
      <c r="B1549" s="34" t="s">
        <v>60</v>
      </c>
      <c r="C1549" s="34" t="s">
        <v>61</v>
      </c>
      <c r="D1549" s="34" t="s">
        <v>68</v>
      </c>
      <c r="E1549" s="34" t="s">
        <v>66</v>
      </c>
      <c r="F1549" s="35">
        <v>106277</v>
      </c>
      <c r="G1549" s="35">
        <v>6961</v>
      </c>
      <c r="H1549" s="36">
        <v>6.5500000000000003E-2</v>
      </c>
      <c r="I1549" s="37">
        <v>2.96</v>
      </c>
      <c r="J1549" s="37">
        <v>20604.560000000001</v>
      </c>
      <c r="K1549" s="35">
        <v>180</v>
      </c>
      <c r="L1549" s="37">
        <v>114.47</v>
      </c>
      <c r="M1549" s="37">
        <v>42397.440000000002</v>
      </c>
      <c r="N1549" s="38">
        <v>2.06</v>
      </c>
    </row>
    <row r="1550" spans="1:14" x14ac:dyDescent="0.3">
      <c r="A1550" s="33">
        <v>45313</v>
      </c>
      <c r="B1550" s="34" t="s">
        <v>60</v>
      </c>
      <c r="C1550" s="34" t="s">
        <v>70</v>
      </c>
      <c r="D1550" s="34" t="s">
        <v>62</v>
      </c>
      <c r="E1550" s="34" t="s">
        <v>78</v>
      </c>
      <c r="F1550" s="35">
        <v>153953</v>
      </c>
      <c r="G1550" s="35">
        <v>5095</v>
      </c>
      <c r="H1550" s="36">
        <v>3.3099999999999997E-2</v>
      </c>
      <c r="I1550" s="37">
        <v>2.86</v>
      </c>
      <c r="J1550" s="37">
        <v>14571.7</v>
      </c>
      <c r="K1550" s="35">
        <v>110</v>
      </c>
      <c r="L1550" s="37">
        <v>132.47</v>
      </c>
      <c r="M1550" s="37">
        <v>30634.7</v>
      </c>
      <c r="N1550" s="38">
        <v>2.1</v>
      </c>
    </row>
    <row r="1551" spans="1:14" x14ac:dyDescent="0.3">
      <c r="A1551" s="33">
        <v>45542</v>
      </c>
      <c r="B1551" s="34" t="s">
        <v>74</v>
      </c>
      <c r="C1551" s="34" t="s">
        <v>67</v>
      </c>
      <c r="D1551" s="34" t="s">
        <v>68</v>
      </c>
      <c r="E1551" s="34" t="s">
        <v>72</v>
      </c>
      <c r="F1551" s="35">
        <v>142135</v>
      </c>
      <c r="G1551" s="35">
        <v>2387</v>
      </c>
      <c r="H1551" s="36">
        <v>1.6799999999999999E-2</v>
      </c>
      <c r="I1551" s="37">
        <v>1.92</v>
      </c>
      <c r="J1551" s="37">
        <v>4583.04</v>
      </c>
      <c r="K1551" s="35">
        <v>98</v>
      </c>
      <c r="L1551" s="37">
        <v>46.77</v>
      </c>
      <c r="M1551" s="37">
        <v>25385.35</v>
      </c>
      <c r="N1551" s="38">
        <v>5.54</v>
      </c>
    </row>
    <row r="1552" spans="1:14" x14ac:dyDescent="0.3">
      <c r="A1552" s="33">
        <v>45621</v>
      </c>
      <c r="B1552" s="34" t="s">
        <v>60</v>
      </c>
      <c r="C1552" s="34" t="s">
        <v>70</v>
      </c>
      <c r="D1552" s="34" t="s">
        <v>65</v>
      </c>
      <c r="E1552" s="34" t="s">
        <v>73</v>
      </c>
      <c r="F1552" s="35">
        <v>107891</v>
      </c>
      <c r="G1552" s="35">
        <v>3733</v>
      </c>
      <c r="H1552" s="36">
        <v>3.4599999999999999E-2</v>
      </c>
      <c r="I1552" s="37">
        <v>2.31</v>
      </c>
      <c r="J1552" s="37">
        <v>8623.23</v>
      </c>
      <c r="K1552" s="35">
        <v>148</v>
      </c>
      <c r="L1552" s="37">
        <v>58.27</v>
      </c>
      <c r="M1552" s="37">
        <v>15202.91</v>
      </c>
      <c r="N1552" s="38">
        <v>1.76</v>
      </c>
    </row>
    <row r="1553" spans="1:14" x14ac:dyDescent="0.3">
      <c r="A1553" s="33">
        <v>45371</v>
      </c>
      <c r="B1553" s="34" t="s">
        <v>64</v>
      </c>
      <c r="C1553" s="34" t="s">
        <v>67</v>
      </c>
      <c r="D1553" s="34" t="s">
        <v>71</v>
      </c>
      <c r="E1553" s="34" t="s">
        <v>69</v>
      </c>
      <c r="F1553" s="35">
        <v>191380</v>
      </c>
      <c r="G1553" s="35">
        <v>8171</v>
      </c>
      <c r="H1553" s="36">
        <v>4.2700000000000002E-2</v>
      </c>
      <c r="I1553" s="37">
        <v>0.5</v>
      </c>
      <c r="J1553" s="37">
        <v>4085.5</v>
      </c>
      <c r="K1553" s="35">
        <v>572</v>
      </c>
      <c r="L1553" s="37">
        <v>7.14</v>
      </c>
      <c r="M1553" s="37">
        <v>155778.92000000001</v>
      </c>
      <c r="N1553" s="38">
        <v>38.130000000000003</v>
      </c>
    </row>
    <row r="1554" spans="1:14" x14ac:dyDescent="0.3">
      <c r="A1554" s="33">
        <v>45515</v>
      </c>
      <c r="B1554" s="34" t="s">
        <v>74</v>
      </c>
      <c r="C1554" s="34" t="s">
        <v>61</v>
      </c>
      <c r="D1554" s="34" t="s">
        <v>68</v>
      </c>
      <c r="E1554" s="34" t="s">
        <v>66</v>
      </c>
      <c r="F1554" s="35">
        <v>123372</v>
      </c>
      <c r="G1554" s="35">
        <v>3355</v>
      </c>
      <c r="H1554" s="36">
        <v>2.7199999999999998E-2</v>
      </c>
      <c r="I1554" s="37">
        <v>2.2999999999999998</v>
      </c>
      <c r="J1554" s="37">
        <v>7716.5</v>
      </c>
      <c r="K1554" s="35">
        <v>224</v>
      </c>
      <c r="L1554" s="37">
        <v>34.450000000000003</v>
      </c>
      <c r="M1554" s="37">
        <v>57352.38</v>
      </c>
      <c r="N1554" s="38">
        <v>7.43</v>
      </c>
    </row>
    <row r="1555" spans="1:14" x14ac:dyDescent="0.3">
      <c r="A1555" s="33">
        <v>45650</v>
      </c>
      <c r="B1555" s="34" t="s">
        <v>60</v>
      </c>
      <c r="C1555" s="34" t="s">
        <v>61</v>
      </c>
      <c r="D1555" s="34" t="s">
        <v>76</v>
      </c>
      <c r="E1555" s="34" t="s">
        <v>63</v>
      </c>
      <c r="F1555" s="35">
        <v>104464</v>
      </c>
      <c r="G1555" s="35">
        <v>4314</v>
      </c>
      <c r="H1555" s="36">
        <v>4.1300000000000003E-2</v>
      </c>
      <c r="I1555" s="37">
        <v>2.2599999999999998</v>
      </c>
      <c r="J1555" s="37">
        <v>9749.64</v>
      </c>
      <c r="K1555" s="35">
        <v>82</v>
      </c>
      <c r="L1555" s="37">
        <v>118.9</v>
      </c>
      <c r="M1555" s="37">
        <v>10226.11</v>
      </c>
      <c r="N1555" s="38">
        <v>1.05</v>
      </c>
    </row>
    <row r="1556" spans="1:14" x14ac:dyDescent="0.3">
      <c r="A1556" s="33">
        <v>45446</v>
      </c>
      <c r="B1556" s="34" t="s">
        <v>60</v>
      </c>
      <c r="C1556" s="34" t="s">
        <v>67</v>
      </c>
      <c r="D1556" s="34" t="s">
        <v>71</v>
      </c>
      <c r="E1556" s="34" t="s">
        <v>66</v>
      </c>
      <c r="F1556" s="35">
        <v>113502</v>
      </c>
      <c r="G1556" s="35">
        <v>2235</v>
      </c>
      <c r="H1556" s="36">
        <v>1.9699999999999999E-2</v>
      </c>
      <c r="I1556" s="37">
        <v>1.21</v>
      </c>
      <c r="J1556" s="37">
        <v>2704.35</v>
      </c>
      <c r="K1556" s="35">
        <v>34</v>
      </c>
      <c r="L1556" s="37">
        <v>79.540000000000006</v>
      </c>
      <c r="M1556" s="37">
        <v>6126.9</v>
      </c>
      <c r="N1556" s="38">
        <v>2.27</v>
      </c>
    </row>
    <row r="1557" spans="1:14" x14ac:dyDescent="0.3">
      <c r="A1557" s="33">
        <v>45544</v>
      </c>
      <c r="B1557" s="34" t="s">
        <v>60</v>
      </c>
      <c r="C1557" s="34" t="s">
        <v>70</v>
      </c>
      <c r="D1557" s="34" t="s">
        <v>68</v>
      </c>
      <c r="E1557" s="34" t="s">
        <v>78</v>
      </c>
      <c r="F1557" s="35">
        <v>95196</v>
      </c>
      <c r="G1557" s="35">
        <v>3170</v>
      </c>
      <c r="H1557" s="36">
        <v>3.3300000000000003E-2</v>
      </c>
      <c r="I1557" s="37">
        <v>1.05</v>
      </c>
      <c r="J1557" s="37">
        <v>3328.5</v>
      </c>
      <c r="K1557" s="35">
        <v>170</v>
      </c>
      <c r="L1557" s="37">
        <v>19.579999999999998</v>
      </c>
      <c r="M1557" s="37">
        <v>13047.52</v>
      </c>
      <c r="N1557" s="38">
        <v>3.92</v>
      </c>
    </row>
    <row r="1558" spans="1:14" x14ac:dyDescent="0.3">
      <c r="A1558" s="33">
        <v>45318</v>
      </c>
      <c r="B1558" s="34" t="s">
        <v>60</v>
      </c>
      <c r="C1558" s="34" t="s">
        <v>75</v>
      </c>
      <c r="D1558" s="34" t="s">
        <v>68</v>
      </c>
      <c r="E1558" s="34" t="s">
        <v>66</v>
      </c>
      <c r="F1558" s="35">
        <v>86362</v>
      </c>
      <c r="G1558" s="35">
        <v>2547</v>
      </c>
      <c r="H1558" s="36">
        <v>2.9499999999999998E-2</v>
      </c>
      <c r="I1558" s="37">
        <v>1.41</v>
      </c>
      <c r="J1558" s="37">
        <v>3591.27</v>
      </c>
      <c r="K1558" s="35">
        <v>164</v>
      </c>
      <c r="L1558" s="37">
        <v>21.9</v>
      </c>
      <c r="M1558" s="37">
        <v>33307.300000000003</v>
      </c>
      <c r="N1558" s="38">
        <v>9.27</v>
      </c>
    </row>
    <row r="1559" spans="1:14" x14ac:dyDescent="0.3">
      <c r="A1559" s="33">
        <v>45471</v>
      </c>
      <c r="B1559" s="34" t="s">
        <v>60</v>
      </c>
      <c r="C1559" s="34" t="s">
        <v>61</v>
      </c>
      <c r="D1559" s="34" t="s">
        <v>76</v>
      </c>
      <c r="E1559" s="34" t="s">
        <v>69</v>
      </c>
      <c r="F1559" s="35">
        <v>78532</v>
      </c>
      <c r="G1559" s="35">
        <v>4735</v>
      </c>
      <c r="H1559" s="36">
        <v>6.0299999999999999E-2</v>
      </c>
      <c r="I1559" s="37">
        <v>2.82</v>
      </c>
      <c r="J1559" s="37">
        <v>13352.7</v>
      </c>
      <c r="K1559" s="35">
        <v>310</v>
      </c>
      <c r="L1559" s="37">
        <v>43.07</v>
      </c>
      <c r="M1559" s="37">
        <v>45765.16</v>
      </c>
      <c r="N1559" s="38">
        <v>3.43</v>
      </c>
    </row>
    <row r="1560" spans="1:14" x14ac:dyDescent="0.3">
      <c r="A1560" s="33">
        <v>45370</v>
      </c>
      <c r="B1560" s="34" t="s">
        <v>60</v>
      </c>
      <c r="C1560" s="34" t="s">
        <v>70</v>
      </c>
      <c r="D1560" s="34" t="s">
        <v>68</v>
      </c>
      <c r="E1560" s="34" t="s">
        <v>73</v>
      </c>
      <c r="F1560" s="35">
        <v>184081</v>
      </c>
      <c r="G1560" s="35">
        <v>5135</v>
      </c>
      <c r="H1560" s="36">
        <v>2.7900000000000001E-2</v>
      </c>
      <c r="I1560" s="37">
        <v>2.1800000000000002</v>
      </c>
      <c r="J1560" s="37">
        <v>11194.3</v>
      </c>
      <c r="K1560" s="35">
        <v>96</v>
      </c>
      <c r="L1560" s="37">
        <v>116.61</v>
      </c>
      <c r="M1560" s="37">
        <v>24545.05</v>
      </c>
      <c r="N1560" s="38">
        <v>2.19</v>
      </c>
    </row>
    <row r="1561" spans="1:14" x14ac:dyDescent="0.3">
      <c r="A1561" s="33">
        <v>45319</v>
      </c>
      <c r="B1561" s="34" t="s">
        <v>74</v>
      </c>
      <c r="C1561" s="34" t="s">
        <v>75</v>
      </c>
      <c r="D1561" s="34" t="s">
        <v>68</v>
      </c>
      <c r="E1561" s="34" t="s">
        <v>73</v>
      </c>
      <c r="F1561" s="35">
        <v>93966</v>
      </c>
      <c r="G1561" s="35">
        <v>2104</v>
      </c>
      <c r="H1561" s="36">
        <v>2.24E-2</v>
      </c>
      <c r="I1561" s="37">
        <v>0.97</v>
      </c>
      <c r="J1561" s="37">
        <v>2040.88</v>
      </c>
      <c r="K1561" s="35">
        <v>157</v>
      </c>
      <c r="L1561" s="37">
        <v>13</v>
      </c>
      <c r="M1561" s="37">
        <v>6975.9</v>
      </c>
      <c r="N1561" s="38">
        <v>3.42</v>
      </c>
    </row>
    <row r="1562" spans="1:14" x14ac:dyDescent="0.3">
      <c r="A1562" s="33">
        <v>45496</v>
      </c>
      <c r="B1562" s="34" t="s">
        <v>60</v>
      </c>
      <c r="C1562" s="34" t="s">
        <v>67</v>
      </c>
      <c r="D1562" s="34" t="s">
        <v>71</v>
      </c>
      <c r="E1562" s="34" t="s">
        <v>63</v>
      </c>
      <c r="F1562" s="35">
        <v>28667</v>
      </c>
      <c r="G1562" s="35">
        <v>1338</v>
      </c>
      <c r="H1562" s="36">
        <v>4.6699999999999998E-2</v>
      </c>
      <c r="I1562" s="37">
        <v>2.9</v>
      </c>
      <c r="J1562" s="37">
        <v>3880.2</v>
      </c>
      <c r="K1562" s="35">
        <v>24</v>
      </c>
      <c r="L1562" s="37">
        <v>161.66999999999999</v>
      </c>
      <c r="M1562" s="37">
        <v>3421.56</v>
      </c>
      <c r="N1562" s="38">
        <v>0.88</v>
      </c>
    </row>
    <row r="1563" spans="1:14" x14ac:dyDescent="0.3">
      <c r="A1563" s="33">
        <v>45312</v>
      </c>
      <c r="B1563" s="34" t="s">
        <v>60</v>
      </c>
      <c r="C1563" s="34" t="s">
        <v>75</v>
      </c>
      <c r="D1563" s="34" t="s">
        <v>68</v>
      </c>
      <c r="E1563" s="34" t="s">
        <v>78</v>
      </c>
      <c r="F1563" s="35">
        <v>154239</v>
      </c>
      <c r="G1563" s="35">
        <v>7465</v>
      </c>
      <c r="H1563" s="36">
        <v>4.8399999999999999E-2</v>
      </c>
      <c r="I1563" s="37">
        <v>3.2</v>
      </c>
      <c r="J1563" s="37">
        <v>23888</v>
      </c>
      <c r="K1563" s="35">
        <v>484</v>
      </c>
      <c r="L1563" s="37">
        <v>49.36</v>
      </c>
      <c r="M1563" s="37">
        <v>25632.04</v>
      </c>
      <c r="N1563" s="38">
        <v>1.07</v>
      </c>
    </row>
    <row r="1564" spans="1:14" x14ac:dyDescent="0.3">
      <c r="A1564" s="33">
        <v>45387</v>
      </c>
      <c r="B1564" s="34" t="s">
        <v>74</v>
      </c>
      <c r="C1564" s="34" t="s">
        <v>67</v>
      </c>
      <c r="D1564" s="34" t="s">
        <v>62</v>
      </c>
      <c r="E1564" s="34" t="s">
        <v>63</v>
      </c>
      <c r="F1564" s="35">
        <v>103576</v>
      </c>
      <c r="G1564" s="35">
        <v>1263</v>
      </c>
      <c r="H1564" s="36">
        <v>1.2200000000000001E-2</v>
      </c>
      <c r="I1564" s="37">
        <v>0.47</v>
      </c>
      <c r="J1564" s="37">
        <v>593.61</v>
      </c>
      <c r="K1564" s="35">
        <v>22</v>
      </c>
      <c r="L1564" s="37">
        <v>26.98</v>
      </c>
      <c r="M1564" s="37">
        <v>5190.25</v>
      </c>
      <c r="N1564" s="38">
        <v>8.74</v>
      </c>
    </row>
    <row r="1565" spans="1:14" x14ac:dyDescent="0.3">
      <c r="A1565" s="33">
        <v>45560</v>
      </c>
      <c r="B1565" s="34" t="s">
        <v>64</v>
      </c>
      <c r="C1565" s="34" t="s">
        <v>67</v>
      </c>
      <c r="D1565" s="34" t="s">
        <v>65</v>
      </c>
      <c r="E1565" s="34" t="s">
        <v>77</v>
      </c>
      <c r="F1565" s="35">
        <v>111154</v>
      </c>
      <c r="G1565" s="35">
        <v>5124</v>
      </c>
      <c r="H1565" s="36">
        <v>4.6100000000000002E-2</v>
      </c>
      <c r="I1565" s="37">
        <v>0.89</v>
      </c>
      <c r="J1565" s="37">
        <v>4560.3599999999997</v>
      </c>
      <c r="K1565" s="35">
        <v>368</v>
      </c>
      <c r="L1565" s="37">
        <v>12.39</v>
      </c>
      <c r="M1565" s="37">
        <v>82164.399999999994</v>
      </c>
      <c r="N1565" s="38">
        <v>18.02</v>
      </c>
    </row>
    <row r="1566" spans="1:14" x14ac:dyDescent="0.3">
      <c r="A1566" s="33">
        <v>45593</v>
      </c>
      <c r="B1566" s="34" t="s">
        <v>60</v>
      </c>
      <c r="C1566" s="34" t="s">
        <v>61</v>
      </c>
      <c r="D1566" s="34" t="s">
        <v>76</v>
      </c>
      <c r="E1566" s="34" t="s">
        <v>69</v>
      </c>
      <c r="F1566" s="35">
        <v>104456</v>
      </c>
      <c r="G1566" s="35">
        <v>6403</v>
      </c>
      <c r="H1566" s="36">
        <v>6.13E-2</v>
      </c>
      <c r="I1566" s="37">
        <v>2.11</v>
      </c>
      <c r="J1566" s="37">
        <v>13510.33</v>
      </c>
      <c r="K1566" s="35">
        <v>440</v>
      </c>
      <c r="L1566" s="37">
        <v>30.71</v>
      </c>
      <c r="M1566" s="37">
        <v>111130.68</v>
      </c>
      <c r="N1566" s="38">
        <v>8.23</v>
      </c>
    </row>
    <row r="1567" spans="1:14" x14ac:dyDescent="0.3">
      <c r="A1567" s="33">
        <v>45577</v>
      </c>
      <c r="B1567" s="34" t="s">
        <v>74</v>
      </c>
      <c r="C1567" s="34" t="s">
        <v>75</v>
      </c>
      <c r="D1567" s="34" t="s">
        <v>71</v>
      </c>
      <c r="E1567" s="34" t="s">
        <v>63</v>
      </c>
      <c r="F1567" s="35">
        <v>173307</v>
      </c>
      <c r="G1567" s="35">
        <v>3292</v>
      </c>
      <c r="H1567" s="36">
        <v>1.9E-2</v>
      </c>
      <c r="I1567" s="37">
        <v>1.03</v>
      </c>
      <c r="J1567" s="37">
        <v>3390.76</v>
      </c>
      <c r="K1567" s="35">
        <v>74</v>
      </c>
      <c r="L1567" s="37">
        <v>45.82</v>
      </c>
      <c r="M1567" s="37">
        <v>21574.44</v>
      </c>
      <c r="N1567" s="38">
        <v>6.36</v>
      </c>
    </row>
    <row r="1568" spans="1:14" x14ac:dyDescent="0.3">
      <c r="A1568" s="33">
        <v>45361</v>
      </c>
      <c r="B1568" s="34" t="s">
        <v>60</v>
      </c>
      <c r="C1568" s="34" t="s">
        <v>75</v>
      </c>
      <c r="D1568" s="34" t="s">
        <v>62</v>
      </c>
      <c r="E1568" s="34" t="s">
        <v>78</v>
      </c>
      <c r="F1568" s="35">
        <v>197459</v>
      </c>
      <c r="G1568" s="35">
        <v>5667</v>
      </c>
      <c r="H1568" s="36">
        <v>2.87E-2</v>
      </c>
      <c r="I1568" s="37">
        <v>3.56</v>
      </c>
      <c r="J1568" s="37">
        <v>20174.52</v>
      </c>
      <c r="K1568" s="35">
        <v>105</v>
      </c>
      <c r="L1568" s="37">
        <v>192.14</v>
      </c>
      <c r="M1568" s="37">
        <v>17723.39</v>
      </c>
      <c r="N1568" s="38">
        <v>0.88</v>
      </c>
    </row>
    <row r="1569" spans="1:14" x14ac:dyDescent="0.3">
      <c r="A1569" s="33">
        <v>45536</v>
      </c>
      <c r="B1569" s="34" t="s">
        <v>64</v>
      </c>
      <c r="C1569" s="34" t="s">
        <v>67</v>
      </c>
      <c r="D1569" s="34" t="s">
        <v>65</v>
      </c>
      <c r="E1569" s="34" t="s">
        <v>66</v>
      </c>
      <c r="F1569" s="35">
        <v>154676</v>
      </c>
      <c r="G1569" s="35">
        <v>5970</v>
      </c>
      <c r="H1569" s="36">
        <v>3.8600000000000002E-2</v>
      </c>
      <c r="I1569" s="37">
        <v>1.0900000000000001</v>
      </c>
      <c r="J1569" s="37">
        <v>6507.3</v>
      </c>
      <c r="K1569" s="35">
        <v>107</v>
      </c>
      <c r="L1569" s="37">
        <v>60.82</v>
      </c>
      <c r="M1569" s="37">
        <v>14099.39</v>
      </c>
      <c r="N1569" s="38">
        <v>2.17</v>
      </c>
    </row>
    <row r="1570" spans="1:14" x14ac:dyDescent="0.3">
      <c r="A1570" s="33">
        <v>45406</v>
      </c>
      <c r="B1570" s="34" t="s">
        <v>74</v>
      </c>
      <c r="C1570" s="34" t="s">
        <v>67</v>
      </c>
      <c r="D1570" s="34" t="s">
        <v>62</v>
      </c>
      <c r="E1570" s="34" t="s">
        <v>77</v>
      </c>
      <c r="F1570" s="35">
        <v>138528</v>
      </c>
      <c r="G1570" s="35">
        <v>3698</v>
      </c>
      <c r="H1570" s="36">
        <v>2.6700000000000002E-2</v>
      </c>
      <c r="I1570" s="37">
        <v>2.27</v>
      </c>
      <c r="J1570" s="37">
        <v>8394.4599999999991</v>
      </c>
      <c r="K1570" s="35">
        <v>264</v>
      </c>
      <c r="L1570" s="37">
        <v>31.8</v>
      </c>
      <c r="M1570" s="37">
        <v>34788.99</v>
      </c>
      <c r="N1570" s="38">
        <v>4.1399999999999997</v>
      </c>
    </row>
    <row r="1571" spans="1:14" x14ac:dyDescent="0.3">
      <c r="A1571" s="33">
        <v>45505</v>
      </c>
      <c r="B1571" s="34" t="s">
        <v>60</v>
      </c>
      <c r="C1571" s="34" t="s">
        <v>75</v>
      </c>
      <c r="D1571" s="34" t="s">
        <v>71</v>
      </c>
      <c r="E1571" s="34" t="s">
        <v>73</v>
      </c>
      <c r="F1571" s="35">
        <v>188490</v>
      </c>
      <c r="G1571" s="35">
        <v>6879</v>
      </c>
      <c r="H1571" s="36">
        <v>3.6499999999999998E-2</v>
      </c>
      <c r="I1571" s="37">
        <v>2.84</v>
      </c>
      <c r="J1571" s="37">
        <v>19536.36</v>
      </c>
      <c r="K1571" s="35">
        <v>279</v>
      </c>
      <c r="L1571" s="37">
        <v>70.02</v>
      </c>
      <c r="M1571" s="37">
        <v>18268.77</v>
      </c>
      <c r="N1571" s="38">
        <v>0.94</v>
      </c>
    </row>
    <row r="1572" spans="1:14" x14ac:dyDescent="0.3">
      <c r="A1572" s="33">
        <v>45556</v>
      </c>
      <c r="B1572" s="34" t="s">
        <v>64</v>
      </c>
      <c r="C1572" s="34" t="s">
        <v>75</v>
      </c>
      <c r="D1572" s="34" t="s">
        <v>71</v>
      </c>
      <c r="E1572" s="34" t="s">
        <v>69</v>
      </c>
      <c r="F1572" s="35">
        <v>155929</v>
      </c>
      <c r="G1572" s="35">
        <v>6408</v>
      </c>
      <c r="H1572" s="36">
        <v>4.1099999999999998E-2</v>
      </c>
      <c r="I1572" s="37">
        <v>0.97</v>
      </c>
      <c r="J1572" s="37">
        <v>6215.76</v>
      </c>
      <c r="K1572" s="35">
        <v>481</v>
      </c>
      <c r="L1572" s="37">
        <v>12.92</v>
      </c>
      <c r="M1572" s="37">
        <v>51123.92</v>
      </c>
      <c r="N1572" s="38">
        <v>8.2200000000000006</v>
      </c>
    </row>
    <row r="1573" spans="1:14" x14ac:dyDescent="0.3">
      <c r="A1573" s="33">
        <v>45443</v>
      </c>
      <c r="B1573" s="34" t="s">
        <v>60</v>
      </c>
      <c r="C1573" s="34" t="s">
        <v>75</v>
      </c>
      <c r="D1573" s="34" t="s">
        <v>65</v>
      </c>
      <c r="E1573" s="34" t="s">
        <v>73</v>
      </c>
      <c r="F1573" s="35">
        <v>177220</v>
      </c>
      <c r="G1573" s="35">
        <v>4607</v>
      </c>
      <c r="H1573" s="36">
        <v>2.5999999999999999E-2</v>
      </c>
      <c r="I1573" s="37">
        <v>2.3199999999999998</v>
      </c>
      <c r="J1573" s="37">
        <v>10688.24</v>
      </c>
      <c r="K1573" s="35">
        <v>114</v>
      </c>
      <c r="L1573" s="37">
        <v>93.76</v>
      </c>
      <c r="M1573" s="37">
        <v>9297.0300000000007</v>
      </c>
      <c r="N1573" s="38">
        <v>0.87</v>
      </c>
    </row>
    <row r="1574" spans="1:14" x14ac:dyDescent="0.3">
      <c r="A1574" s="33">
        <v>45575</v>
      </c>
      <c r="B1574" s="34" t="s">
        <v>74</v>
      </c>
      <c r="C1574" s="34" t="s">
        <v>67</v>
      </c>
      <c r="D1574" s="34" t="s">
        <v>76</v>
      </c>
      <c r="E1574" s="34" t="s">
        <v>73</v>
      </c>
      <c r="F1574" s="35">
        <v>188552</v>
      </c>
      <c r="G1574" s="35">
        <v>6373</v>
      </c>
      <c r="H1574" s="36">
        <v>3.3799999999999997E-2</v>
      </c>
      <c r="I1574" s="37">
        <v>0.65</v>
      </c>
      <c r="J1574" s="37">
        <v>4142.45</v>
      </c>
      <c r="K1574" s="35">
        <v>129</v>
      </c>
      <c r="L1574" s="37">
        <v>32.11</v>
      </c>
      <c r="M1574" s="37">
        <v>8973.49</v>
      </c>
      <c r="N1574" s="38">
        <v>2.17</v>
      </c>
    </row>
    <row r="1575" spans="1:14" x14ac:dyDescent="0.3">
      <c r="A1575" s="33">
        <v>45550</v>
      </c>
      <c r="B1575" s="34" t="s">
        <v>60</v>
      </c>
      <c r="C1575" s="34" t="s">
        <v>67</v>
      </c>
      <c r="D1575" s="34" t="s">
        <v>76</v>
      </c>
      <c r="E1575" s="34" t="s">
        <v>73</v>
      </c>
      <c r="F1575" s="35">
        <v>136460</v>
      </c>
      <c r="G1575" s="35">
        <v>4462</v>
      </c>
      <c r="H1575" s="36">
        <v>3.27E-2</v>
      </c>
      <c r="I1575" s="37">
        <v>0.88</v>
      </c>
      <c r="J1575" s="37">
        <v>3926.56</v>
      </c>
      <c r="K1575" s="35">
        <v>322</v>
      </c>
      <c r="L1575" s="37">
        <v>12.19</v>
      </c>
      <c r="M1575" s="37">
        <v>59937.98</v>
      </c>
      <c r="N1575" s="38">
        <v>15.26</v>
      </c>
    </row>
    <row r="1576" spans="1:14" x14ac:dyDescent="0.3">
      <c r="A1576" s="33">
        <v>45572</v>
      </c>
      <c r="B1576" s="34" t="s">
        <v>64</v>
      </c>
      <c r="C1576" s="34" t="s">
        <v>75</v>
      </c>
      <c r="D1576" s="34" t="s">
        <v>68</v>
      </c>
      <c r="E1576" s="34" t="s">
        <v>73</v>
      </c>
      <c r="F1576" s="35">
        <v>124614</v>
      </c>
      <c r="G1576" s="35">
        <v>4573</v>
      </c>
      <c r="H1576" s="36">
        <v>3.6700000000000003E-2</v>
      </c>
      <c r="I1576" s="37">
        <v>0.28999999999999998</v>
      </c>
      <c r="J1576" s="37">
        <v>1326.17</v>
      </c>
      <c r="K1576" s="35">
        <v>240</v>
      </c>
      <c r="L1576" s="37">
        <v>5.53</v>
      </c>
      <c r="M1576" s="37">
        <v>46988.2</v>
      </c>
      <c r="N1576" s="38">
        <v>35.43</v>
      </c>
    </row>
    <row r="1577" spans="1:14" x14ac:dyDescent="0.3">
      <c r="A1577" s="33">
        <v>45397</v>
      </c>
      <c r="B1577" s="34" t="s">
        <v>74</v>
      </c>
      <c r="C1577" s="34" t="s">
        <v>67</v>
      </c>
      <c r="D1577" s="34" t="s">
        <v>71</v>
      </c>
      <c r="E1577" s="34" t="s">
        <v>77</v>
      </c>
      <c r="F1577" s="35">
        <v>28359</v>
      </c>
      <c r="G1577" s="35">
        <v>612</v>
      </c>
      <c r="H1577" s="36">
        <v>2.1600000000000001E-2</v>
      </c>
      <c r="I1577" s="37">
        <v>0.75</v>
      </c>
      <c r="J1577" s="37">
        <v>459</v>
      </c>
      <c r="K1577" s="35">
        <v>30</v>
      </c>
      <c r="L1577" s="37">
        <v>15.3</v>
      </c>
      <c r="M1577" s="37">
        <v>6591.07</v>
      </c>
      <c r="N1577" s="38">
        <v>14.36</v>
      </c>
    </row>
    <row r="1578" spans="1:14" x14ac:dyDescent="0.3">
      <c r="A1578" s="33">
        <v>45471</v>
      </c>
      <c r="B1578" s="34" t="s">
        <v>74</v>
      </c>
      <c r="C1578" s="34" t="s">
        <v>61</v>
      </c>
      <c r="D1578" s="34" t="s">
        <v>76</v>
      </c>
      <c r="E1578" s="34" t="s">
        <v>69</v>
      </c>
      <c r="F1578" s="35">
        <v>81759</v>
      </c>
      <c r="G1578" s="35">
        <v>1316</v>
      </c>
      <c r="H1578" s="36">
        <v>1.61E-2</v>
      </c>
      <c r="I1578" s="37">
        <v>0.9</v>
      </c>
      <c r="J1578" s="37">
        <v>1184.4000000000001</v>
      </c>
      <c r="K1578" s="35">
        <v>46</v>
      </c>
      <c r="L1578" s="37">
        <v>25.75</v>
      </c>
      <c r="M1578" s="37">
        <v>6171.89</v>
      </c>
      <c r="N1578" s="38">
        <v>5.21</v>
      </c>
    </row>
    <row r="1579" spans="1:14" x14ac:dyDescent="0.3">
      <c r="A1579" s="33">
        <v>45387</v>
      </c>
      <c r="B1579" s="34" t="s">
        <v>74</v>
      </c>
      <c r="C1579" s="34" t="s">
        <v>67</v>
      </c>
      <c r="D1579" s="34" t="s">
        <v>76</v>
      </c>
      <c r="E1579" s="34" t="s">
        <v>72</v>
      </c>
      <c r="F1579" s="35">
        <v>131230</v>
      </c>
      <c r="G1579" s="35">
        <v>2139</v>
      </c>
      <c r="H1579" s="36">
        <v>1.6299999999999999E-2</v>
      </c>
      <c r="I1579" s="37">
        <v>2.23</v>
      </c>
      <c r="J1579" s="37">
        <v>4769.97</v>
      </c>
      <c r="K1579" s="35">
        <v>105</v>
      </c>
      <c r="L1579" s="37">
        <v>45.43</v>
      </c>
      <c r="M1579" s="37">
        <v>24738.73</v>
      </c>
      <c r="N1579" s="38">
        <v>5.19</v>
      </c>
    </row>
    <row r="1580" spans="1:14" x14ac:dyDescent="0.3">
      <c r="A1580" s="33">
        <v>45444</v>
      </c>
      <c r="B1580" s="34" t="s">
        <v>64</v>
      </c>
      <c r="C1580" s="34" t="s">
        <v>61</v>
      </c>
      <c r="D1580" s="34" t="s">
        <v>76</v>
      </c>
      <c r="E1580" s="34" t="s">
        <v>73</v>
      </c>
      <c r="F1580" s="35">
        <v>49659</v>
      </c>
      <c r="G1580" s="35">
        <v>2413</v>
      </c>
      <c r="H1580" s="36">
        <v>4.8599999999999997E-2</v>
      </c>
      <c r="I1580" s="37">
        <v>1.45</v>
      </c>
      <c r="J1580" s="37">
        <v>3498.85</v>
      </c>
      <c r="K1580" s="35">
        <v>191</v>
      </c>
      <c r="L1580" s="37">
        <v>18.32</v>
      </c>
      <c r="M1580" s="37">
        <v>38157.72</v>
      </c>
      <c r="N1580" s="38">
        <v>10.91</v>
      </c>
    </row>
    <row r="1581" spans="1:14" x14ac:dyDescent="0.3">
      <c r="A1581" s="33">
        <v>45329</v>
      </c>
      <c r="B1581" s="34" t="s">
        <v>64</v>
      </c>
      <c r="C1581" s="34" t="s">
        <v>75</v>
      </c>
      <c r="D1581" s="34" t="s">
        <v>62</v>
      </c>
      <c r="E1581" s="34" t="s">
        <v>72</v>
      </c>
      <c r="F1581" s="35">
        <v>103029</v>
      </c>
      <c r="G1581" s="35">
        <v>6830</v>
      </c>
      <c r="H1581" s="36">
        <v>6.6299999999999998E-2</v>
      </c>
      <c r="I1581" s="37">
        <v>0.52</v>
      </c>
      <c r="J1581" s="37">
        <v>3551.6</v>
      </c>
      <c r="K1581" s="35">
        <v>148</v>
      </c>
      <c r="L1581" s="37">
        <v>24</v>
      </c>
      <c r="M1581" s="37">
        <v>14545.74</v>
      </c>
      <c r="N1581" s="38">
        <v>4.0999999999999996</v>
      </c>
    </row>
    <row r="1582" spans="1:14" x14ac:dyDescent="0.3">
      <c r="A1582" s="33">
        <v>45444</v>
      </c>
      <c r="B1582" s="34" t="s">
        <v>64</v>
      </c>
      <c r="C1582" s="34" t="s">
        <v>70</v>
      </c>
      <c r="D1582" s="34" t="s">
        <v>68</v>
      </c>
      <c r="E1582" s="34" t="s">
        <v>73</v>
      </c>
      <c r="F1582" s="35">
        <v>52368</v>
      </c>
      <c r="G1582" s="35">
        <v>3351</v>
      </c>
      <c r="H1582" s="36">
        <v>6.4000000000000001E-2</v>
      </c>
      <c r="I1582" s="37">
        <v>0.61</v>
      </c>
      <c r="J1582" s="37">
        <v>2044.11</v>
      </c>
      <c r="K1582" s="35">
        <v>117</v>
      </c>
      <c r="L1582" s="37">
        <v>17.47</v>
      </c>
      <c r="M1582" s="37">
        <v>12829.28</v>
      </c>
      <c r="N1582" s="38">
        <v>6.28</v>
      </c>
    </row>
    <row r="1583" spans="1:14" x14ac:dyDescent="0.3">
      <c r="A1583" s="33">
        <v>45458</v>
      </c>
      <c r="B1583" s="34" t="s">
        <v>64</v>
      </c>
      <c r="C1583" s="34" t="s">
        <v>67</v>
      </c>
      <c r="D1583" s="34" t="s">
        <v>65</v>
      </c>
      <c r="E1583" s="34" t="s">
        <v>73</v>
      </c>
      <c r="F1583" s="35">
        <v>144585</v>
      </c>
      <c r="G1583" s="35">
        <v>8357</v>
      </c>
      <c r="H1583" s="36">
        <v>5.7799999999999997E-2</v>
      </c>
      <c r="I1583" s="37">
        <v>0.52</v>
      </c>
      <c r="J1583" s="37">
        <v>4345.6400000000003</v>
      </c>
      <c r="K1583" s="35">
        <v>412</v>
      </c>
      <c r="L1583" s="37">
        <v>10.55</v>
      </c>
      <c r="M1583" s="37">
        <v>78373.31</v>
      </c>
      <c r="N1583" s="38">
        <v>18.03</v>
      </c>
    </row>
    <row r="1584" spans="1:14" x14ac:dyDescent="0.3">
      <c r="A1584" s="33">
        <v>45373</v>
      </c>
      <c r="B1584" s="34" t="s">
        <v>64</v>
      </c>
      <c r="C1584" s="34" t="s">
        <v>70</v>
      </c>
      <c r="D1584" s="34" t="s">
        <v>62</v>
      </c>
      <c r="E1584" s="34" t="s">
        <v>66</v>
      </c>
      <c r="F1584" s="35">
        <v>40308</v>
      </c>
      <c r="G1584" s="35">
        <v>3853</v>
      </c>
      <c r="H1584" s="36">
        <v>9.5600000000000004E-2</v>
      </c>
      <c r="I1584" s="37">
        <v>1.0900000000000001</v>
      </c>
      <c r="J1584" s="37">
        <v>4199.7700000000004</v>
      </c>
      <c r="K1584" s="35">
        <v>291</v>
      </c>
      <c r="L1584" s="37">
        <v>14.43</v>
      </c>
      <c r="M1584" s="37">
        <v>33059.93</v>
      </c>
      <c r="N1584" s="38">
        <v>7.87</v>
      </c>
    </row>
    <row r="1585" spans="1:14" x14ac:dyDescent="0.3">
      <c r="A1585" s="33">
        <v>45512</v>
      </c>
      <c r="B1585" s="34" t="s">
        <v>64</v>
      </c>
      <c r="C1585" s="34" t="s">
        <v>61</v>
      </c>
      <c r="D1585" s="34" t="s">
        <v>76</v>
      </c>
      <c r="E1585" s="34" t="s">
        <v>72</v>
      </c>
      <c r="F1585" s="35">
        <v>43635</v>
      </c>
      <c r="G1585" s="35">
        <v>2469</v>
      </c>
      <c r="H1585" s="36">
        <v>5.6599999999999998E-2</v>
      </c>
      <c r="I1585" s="37">
        <v>1.21</v>
      </c>
      <c r="J1585" s="37">
        <v>2987.49</v>
      </c>
      <c r="K1585" s="35">
        <v>133</v>
      </c>
      <c r="L1585" s="37">
        <v>22.46</v>
      </c>
      <c r="M1585" s="37">
        <v>19667.27</v>
      </c>
      <c r="N1585" s="38">
        <v>6.58</v>
      </c>
    </row>
    <row r="1586" spans="1:14" x14ac:dyDescent="0.3">
      <c r="A1586" s="33">
        <v>45512</v>
      </c>
      <c r="B1586" s="34" t="s">
        <v>74</v>
      </c>
      <c r="C1586" s="34" t="s">
        <v>61</v>
      </c>
      <c r="D1586" s="34" t="s">
        <v>65</v>
      </c>
      <c r="E1586" s="34" t="s">
        <v>77</v>
      </c>
      <c r="F1586" s="35">
        <v>164074</v>
      </c>
      <c r="G1586" s="35">
        <v>6152</v>
      </c>
      <c r="H1586" s="36">
        <v>3.7499999999999999E-2</v>
      </c>
      <c r="I1586" s="37">
        <v>0.95</v>
      </c>
      <c r="J1586" s="37">
        <v>5844.4</v>
      </c>
      <c r="K1586" s="35">
        <v>360</v>
      </c>
      <c r="L1586" s="37">
        <v>16.23</v>
      </c>
      <c r="M1586" s="37">
        <v>47241.24</v>
      </c>
      <c r="N1586" s="38">
        <v>8.08</v>
      </c>
    </row>
    <row r="1587" spans="1:14" x14ac:dyDescent="0.3">
      <c r="A1587" s="33">
        <v>45517</v>
      </c>
      <c r="B1587" s="34" t="s">
        <v>74</v>
      </c>
      <c r="C1587" s="34" t="s">
        <v>70</v>
      </c>
      <c r="D1587" s="34" t="s">
        <v>68</v>
      </c>
      <c r="E1587" s="34" t="s">
        <v>73</v>
      </c>
      <c r="F1587" s="35">
        <v>107300</v>
      </c>
      <c r="G1587" s="35">
        <v>2693</v>
      </c>
      <c r="H1587" s="36">
        <v>2.5100000000000001E-2</v>
      </c>
      <c r="I1587" s="37">
        <v>0.56999999999999995</v>
      </c>
      <c r="J1587" s="37">
        <v>1535.01</v>
      </c>
      <c r="K1587" s="35">
        <v>153</v>
      </c>
      <c r="L1587" s="37">
        <v>10.029999999999999</v>
      </c>
      <c r="M1587" s="37">
        <v>18121.16</v>
      </c>
      <c r="N1587" s="38">
        <v>11.81</v>
      </c>
    </row>
    <row r="1588" spans="1:14" x14ac:dyDescent="0.3">
      <c r="A1588" s="33">
        <v>45600</v>
      </c>
      <c r="B1588" s="34" t="s">
        <v>74</v>
      </c>
      <c r="C1588" s="34" t="s">
        <v>75</v>
      </c>
      <c r="D1588" s="34" t="s">
        <v>65</v>
      </c>
      <c r="E1588" s="34" t="s">
        <v>77</v>
      </c>
      <c r="F1588" s="35">
        <v>177443</v>
      </c>
      <c r="G1588" s="35">
        <v>4400</v>
      </c>
      <c r="H1588" s="36">
        <v>2.4799999999999999E-2</v>
      </c>
      <c r="I1588" s="37">
        <v>2.17</v>
      </c>
      <c r="J1588" s="37">
        <v>9548</v>
      </c>
      <c r="K1588" s="35">
        <v>231</v>
      </c>
      <c r="L1588" s="37">
        <v>41.33</v>
      </c>
      <c r="M1588" s="37">
        <v>43094.26</v>
      </c>
      <c r="N1588" s="38">
        <v>4.51</v>
      </c>
    </row>
    <row r="1589" spans="1:14" x14ac:dyDescent="0.3">
      <c r="A1589" s="33">
        <v>45402</v>
      </c>
      <c r="B1589" s="34" t="s">
        <v>64</v>
      </c>
      <c r="C1589" s="34" t="s">
        <v>70</v>
      </c>
      <c r="D1589" s="34" t="s">
        <v>65</v>
      </c>
      <c r="E1589" s="34" t="s">
        <v>63</v>
      </c>
      <c r="F1589" s="35">
        <v>141268</v>
      </c>
      <c r="G1589" s="35">
        <v>7402</v>
      </c>
      <c r="H1589" s="36">
        <v>5.2400000000000002E-2</v>
      </c>
      <c r="I1589" s="37">
        <v>1.24</v>
      </c>
      <c r="J1589" s="37">
        <v>9178.48</v>
      </c>
      <c r="K1589" s="35">
        <v>335</v>
      </c>
      <c r="L1589" s="37">
        <v>27.4</v>
      </c>
      <c r="M1589" s="37">
        <v>31326.97</v>
      </c>
      <c r="N1589" s="38">
        <v>3.41</v>
      </c>
    </row>
    <row r="1590" spans="1:14" x14ac:dyDescent="0.3">
      <c r="A1590" s="33">
        <v>45438</v>
      </c>
      <c r="B1590" s="34" t="s">
        <v>64</v>
      </c>
      <c r="C1590" s="34" t="s">
        <v>75</v>
      </c>
      <c r="D1590" s="34" t="s">
        <v>65</v>
      </c>
      <c r="E1590" s="34" t="s">
        <v>72</v>
      </c>
      <c r="F1590" s="35">
        <v>145631</v>
      </c>
      <c r="G1590" s="35">
        <v>4194</v>
      </c>
      <c r="H1590" s="36">
        <v>2.8799999999999999E-2</v>
      </c>
      <c r="I1590" s="37">
        <v>0.84</v>
      </c>
      <c r="J1590" s="37">
        <v>3522.96</v>
      </c>
      <c r="K1590" s="35">
        <v>59</v>
      </c>
      <c r="L1590" s="37">
        <v>59.71</v>
      </c>
      <c r="M1590" s="37">
        <v>15427.34</v>
      </c>
      <c r="N1590" s="38">
        <v>4.38</v>
      </c>
    </row>
    <row r="1591" spans="1:14" x14ac:dyDescent="0.3">
      <c r="A1591" s="33">
        <v>45618</v>
      </c>
      <c r="B1591" s="34" t="s">
        <v>64</v>
      </c>
      <c r="C1591" s="34" t="s">
        <v>61</v>
      </c>
      <c r="D1591" s="34" t="s">
        <v>65</v>
      </c>
      <c r="E1591" s="34" t="s">
        <v>73</v>
      </c>
      <c r="F1591" s="35">
        <v>191041</v>
      </c>
      <c r="G1591" s="35">
        <v>7393</v>
      </c>
      <c r="H1591" s="36">
        <v>3.8699999999999998E-2</v>
      </c>
      <c r="I1591" s="37">
        <v>0.53</v>
      </c>
      <c r="J1591" s="37">
        <v>3918.29</v>
      </c>
      <c r="K1591" s="35">
        <v>446</v>
      </c>
      <c r="L1591" s="37">
        <v>8.7899999999999991</v>
      </c>
      <c r="M1591" s="37">
        <v>15789.02</v>
      </c>
      <c r="N1591" s="38">
        <v>4.03</v>
      </c>
    </row>
    <row r="1592" spans="1:14" x14ac:dyDescent="0.3">
      <c r="A1592" s="33">
        <v>45609</v>
      </c>
      <c r="B1592" s="34" t="s">
        <v>64</v>
      </c>
      <c r="C1592" s="34" t="s">
        <v>67</v>
      </c>
      <c r="D1592" s="34" t="s">
        <v>68</v>
      </c>
      <c r="E1592" s="34" t="s">
        <v>66</v>
      </c>
      <c r="F1592" s="35">
        <v>72145</v>
      </c>
      <c r="G1592" s="35">
        <v>3058</v>
      </c>
      <c r="H1592" s="36">
        <v>4.24E-2</v>
      </c>
      <c r="I1592" s="37">
        <v>0.77</v>
      </c>
      <c r="J1592" s="37">
        <v>2354.66</v>
      </c>
      <c r="K1592" s="35">
        <v>78</v>
      </c>
      <c r="L1592" s="37">
        <v>30.19</v>
      </c>
      <c r="M1592" s="37">
        <v>7543.67</v>
      </c>
      <c r="N1592" s="38">
        <v>3.2</v>
      </c>
    </row>
    <row r="1593" spans="1:14" x14ac:dyDescent="0.3">
      <c r="A1593" s="33">
        <v>45355</v>
      </c>
      <c r="B1593" s="34" t="s">
        <v>74</v>
      </c>
      <c r="C1593" s="34" t="s">
        <v>67</v>
      </c>
      <c r="D1593" s="34" t="s">
        <v>71</v>
      </c>
      <c r="E1593" s="34" t="s">
        <v>63</v>
      </c>
      <c r="F1593" s="35">
        <v>113447</v>
      </c>
      <c r="G1593" s="35">
        <v>1826</v>
      </c>
      <c r="H1593" s="36">
        <v>1.61E-2</v>
      </c>
      <c r="I1593" s="37">
        <v>1.73</v>
      </c>
      <c r="J1593" s="37">
        <v>3158.98</v>
      </c>
      <c r="K1593" s="35">
        <v>24</v>
      </c>
      <c r="L1593" s="37">
        <v>131.62</v>
      </c>
      <c r="M1593" s="37">
        <v>4477.79</v>
      </c>
      <c r="N1593" s="38">
        <v>1.42</v>
      </c>
    </row>
    <row r="1594" spans="1:14" x14ac:dyDescent="0.3">
      <c r="A1594" s="33">
        <v>45638</v>
      </c>
      <c r="B1594" s="34" t="s">
        <v>64</v>
      </c>
      <c r="C1594" s="34" t="s">
        <v>61</v>
      </c>
      <c r="D1594" s="34" t="s">
        <v>68</v>
      </c>
      <c r="E1594" s="34" t="s">
        <v>77</v>
      </c>
      <c r="F1594" s="35">
        <v>195512</v>
      </c>
      <c r="G1594" s="35">
        <v>8328</v>
      </c>
      <c r="H1594" s="36">
        <v>4.2599999999999999E-2</v>
      </c>
      <c r="I1594" s="37">
        <v>1.63</v>
      </c>
      <c r="J1594" s="37">
        <v>13574.64</v>
      </c>
      <c r="K1594" s="35">
        <v>198</v>
      </c>
      <c r="L1594" s="37">
        <v>68.56</v>
      </c>
      <c r="M1594" s="37">
        <v>14486.58</v>
      </c>
      <c r="N1594" s="38">
        <v>1.07</v>
      </c>
    </row>
    <row r="1595" spans="1:14" x14ac:dyDescent="0.3">
      <c r="A1595" s="33">
        <v>45462</v>
      </c>
      <c r="B1595" s="34" t="s">
        <v>74</v>
      </c>
      <c r="C1595" s="34" t="s">
        <v>61</v>
      </c>
      <c r="D1595" s="34" t="s">
        <v>71</v>
      </c>
      <c r="E1595" s="34" t="s">
        <v>69</v>
      </c>
      <c r="F1595" s="35">
        <v>149446</v>
      </c>
      <c r="G1595" s="35">
        <v>6456</v>
      </c>
      <c r="H1595" s="36">
        <v>4.3200000000000002E-2</v>
      </c>
      <c r="I1595" s="37">
        <v>2.19</v>
      </c>
      <c r="J1595" s="37">
        <v>14138.64</v>
      </c>
      <c r="K1595" s="35">
        <v>397</v>
      </c>
      <c r="L1595" s="37">
        <v>35.61</v>
      </c>
      <c r="M1595" s="37">
        <v>118768.88</v>
      </c>
      <c r="N1595" s="38">
        <v>8.4</v>
      </c>
    </row>
    <row r="1596" spans="1:14" x14ac:dyDescent="0.3">
      <c r="A1596" s="33">
        <v>45538</v>
      </c>
      <c r="B1596" s="34" t="s">
        <v>64</v>
      </c>
      <c r="C1596" s="34" t="s">
        <v>67</v>
      </c>
      <c r="D1596" s="34" t="s">
        <v>71</v>
      </c>
      <c r="E1596" s="34" t="s">
        <v>72</v>
      </c>
      <c r="F1596" s="35">
        <v>154307</v>
      </c>
      <c r="G1596" s="35">
        <v>9212</v>
      </c>
      <c r="H1596" s="36">
        <v>5.9700000000000003E-2</v>
      </c>
      <c r="I1596" s="37">
        <v>1.3</v>
      </c>
      <c r="J1596" s="37">
        <v>11975.6</v>
      </c>
      <c r="K1596" s="35">
        <v>700</v>
      </c>
      <c r="L1596" s="37">
        <v>17.11</v>
      </c>
      <c r="M1596" s="37">
        <v>61706.239999999998</v>
      </c>
      <c r="N1596" s="38">
        <v>5.15</v>
      </c>
    </row>
    <row r="1597" spans="1:14" x14ac:dyDescent="0.3">
      <c r="A1597" s="33">
        <v>45622</v>
      </c>
      <c r="B1597" s="34" t="s">
        <v>74</v>
      </c>
      <c r="C1597" s="34" t="s">
        <v>75</v>
      </c>
      <c r="D1597" s="34" t="s">
        <v>68</v>
      </c>
      <c r="E1597" s="34" t="s">
        <v>77</v>
      </c>
      <c r="F1597" s="35">
        <v>149675</v>
      </c>
      <c r="G1597" s="35">
        <v>3143</v>
      </c>
      <c r="H1597" s="36">
        <v>2.1000000000000001E-2</v>
      </c>
      <c r="I1597" s="37">
        <v>1.55</v>
      </c>
      <c r="J1597" s="37">
        <v>4871.6499999999996</v>
      </c>
      <c r="K1597" s="35">
        <v>147</v>
      </c>
      <c r="L1597" s="37">
        <v>33.14</v>
      </c>
      <c r="M1597" s="37">
        <v>33184.47</v>
      </c>
      <c r="N1597" s="38">
        <v>6.81</v>
      </c>
    </row>
    <row r="1598" spans="1:14" x14ac:dyDescent="0.3">
      <c r="A1598" s="33">
        <v>45387</v>
      </c>
      <c r="B1598" s="34" t="s">
        <v>64</v>
      </c>
      <c r="C1598" s="34" t="s">
        <v>70</v>
      </c>
      <c r="D1598" s="34" t="s">
        <v>68</v>
      </c>
      <c r="E1598" s="34" t="s">
        <v>63</v>
      </c>
      <c r="F1598" s="35">
        <v>184065</v>
      </c>
      <c r="G1598" s="35">
        <v>6350</v>
      </c>
      <c r="H1598" s="36">
        <v>3.4500000000000003E-2</v>
      </c>
      <c r="I1598" s="37">
        <v>1.34</v>
      </c>
      <c r="J1598" s="37">
        <v>8509</v>
      </c>
      <c r="K1598" s="35">
        <v>273</v>
      </c>
      <c r="L1598" s="37">
        <v>31.17</v>
      </c>
      <c r="M1598" s="37">
        <v>39093.51</v>
      </c>
      <c r="N1598" s="38">
        <v>4.59</v>
      </c>
    </row>
    <row r="1599" spans="1:14" x14ac:dyDescent="0.3">
      <c r="A1599" s="33">
        <v>45569</v>
      </c>
      <c r="B1599" s="34" t="s">
        <v>64</v>
      </c>
      <c r="C1599" s="34" t="s">
        <v>61</v>
      </c>
      <c r="D1599" s="34" t="s">
        <v>65</v>
      </c>
      <c r="E1599" s="34" t="s">
        <v>72</v>
      </c>
      <c r="F1599" s="35">
        <v>64484</v>
      </c>
      <c r="G1599" s="35">
        <v>2966</v>
      </c>
      <c r="H1599" s="36">
        <v>4.5999999999999999E-2</v>
      </c>
      <c r="I1599" s="37">
        <v>1.25</v>
      </c>
      <c r="J1599" s="37">
        <v>3707.5</v>
      </c>
      <c r="K1599" s="35">
        <v>227</v>
      </c>
      <c r="L1599" s="37">
        <v>16.329999999999998</v>
      </c>
      <c r="M1599" s="37">
        <v>27232.61</v>
      </c>
      <c r="N1599" s="38">
        <v>7.35</v>
      </c>
    </row>
    <row r="1600" spans="1:14" x14ac:dyDescent="0.3">
      <c r="A1600" s="33">
        <v>45501</v>
      </c>
      <c r="B1600" s="34" t="s">
        <v>74</v>
      </c>
      <c r="C1600" s="34" t="s">
        <v>67</v>
      </c>
      <c r="D1600" s="34" t="s">
        <v>65</v>
      </c>
      <c r="E1600" s="34" t="s">
        <v>63</v>
      </c>
      <c r="F1600" s="35">
        <v>148088</v>
      </c>
      <c r="G1600" s="35">
        <v>4561</v>
      </c>
      <c r="H1600" s="36">
        <v>3.0800000000000001E-2</v>
      </c>
      <c r="I1600" s="37">
        <v>1.36</v>
      </c>
      <c r="J1600" s="37">
        <v>6202.96</v>
      </c>
      <c r="K1600" s="35">
        <v>173</v>
      </c>
      <c r="L1600" s="37">
        <v>35.86</v>
      </c>
      <c r="M1600" s="37">
        <v>48056.97</v>
      </c>
      <c r="N1600" s="38">
        <v>7.75</v>
      </c>
    </row>
    <row r="1601" spans="1:14" x14ac:dyDescent="0.3">
      <c r="A1601" s="33">
        <v>45544</v>
      </c>
      <c r="B1601" s="34" t="s">
        <v>60</v>
      </c>
      <c r="C1601" s="34" t="s">
        <v>75</v>
      </c>
      <c r="D1601" s="34" t="s">
        <v>71</v>
      </c>
      <c r="E1601" s="34" t="s">
        <v>77</v>
      </c>
      <c r="F1601" s="35">
        <v>28068</v>
      </c>
      <c r="G1601" s="35">
        <v>990</v>
      </c>
      <c r="H1601" s="36">
        <v>3.5299999999999998E-2</v>
      </c>
      <c r="I1601" s="37">
        <v>1.01</v>
      </c>
      <c r="J1601" s="37">
        <v>999.9</v>
      </c>
      <c r="K1601" s="35">
        <v>28</v>
      </c>
      <c r="L1601" s="37">
        <v>35.71</v>
      </c>
      <c r="M1601" s="37">
        <v>5661.1</v>
      </c>
      <c r="N1601" s="38">
        <v>5.66</v>
      </c>
    </row>
    <row r="1602" spans="1:14" x14ac:dyDescent="0.3">
      <c r="A1602" s="33">
        <v>45374</v>
      </c>
      <c r="B1602" s="34" t="s">
        <v>64</v>
      </c>
      <c r="C1602" s="34" t="s">
        <v>61</v>
      </c>
      <c r="D1602" s="34" t="s">
        <v>68</v>
      </c>
      <c r="E1602" s="34" t="s">
        <v>69</v>
      </c>
      <c r="F1602" s="35">
        <v>131385</v>
      </c>
      <c r="G1602" s="35">
        <v>6910</v>
      </c>
      <c r="H1602" s="36">
        <v>5.2600000000000001E-2</v>
      </c>
      <c r="I1602" s="37">
        <v>0.34</v>
      </c>
      <c r="J1602" s="37">
        <v>2349.4</v>
      </c>
      <c r="K1602" s="35">
        <v>206</v>
      </c>
      <c r="L1602" s="37">
        <v>11.4</v>
      </c>
      <c r="M1602" s="37">
        <v>6729.96</v>
      </c>
      <c r="N1602" s="38">
        <v>2.86</v>
      </c>
    </row>
    <row r="1603" spans="1:14" x14ac:dyDescent="0.3">
      <c r="A1603" s="33">
        <v>45428</v>
      </c>
      <c r="B1603" s="34" t="s">
        <v>64</v>
      </c>
      <c r="C1603" s="34" t="s">
        <v>61</v>
      </c>
      <c r="D1603" s="34" t="s">
        <v>65</v>
      </c>
      <c r="E1603" s="34" t="s">
        <v>63</v>
      </c>
      <c r="F1603" s="35">
        <v>77882</v>
      </c>
      <c r="G1603" s="35">
        <v>3029</v>
      </c>
      <c r="H1603" s="36">
        <v>3.8899999999999997E-2</v>
      </c>
      <c r="I1603" s="37">
        <v>0.47</v>
      </c>
      <c r="J1603" s="37">
        <v>1423.63</v>
      </c>
      <c r="K1603" s="35">
        <v>228</v>
      </c>
      <c r="L1603" s="37">
        <v>6.24</v>
      </c>
      <c r="M1603" s="37">
        <v>44433.62</v>
      </c>
      <c r="N1603" s="38">
        <v>31.21</v>
      </c>
    </row>
    <row r="1604" spans="1:14" x14ac:dyDescent="0.3">
      <c r="A1604" s="33">
        <v>45545</v>
      </c>
      <c r="B1604" s="34" t="s">
        <v>64</v>
      </c>
      <c r="C1604" s="34" t="s">
        <v>70</v>
      </c>
      <c r="D1604" s="34" t="s">
        <v>68</v>
      </c>
      <c r="E1604" s="34" t="s">
        <v>63</v>
      </c>
      <c r="F1604" s="35">
        <v>90066</v>
      </c>
      <c r="G1604" s="35">
        <v>6025</v>
      </c>
      <c r="H1604" s="36">
        <v>6.6900000000000001E-2</v>
      </c>
      <c r="I1604" s="37">
        <v>1.77</v>
      </c>
      <c r="J1604" s="37">
        <v>10664.25</v>
      </c>
      <c r="K1604" s="35">
        <v>417</v>
      </c>
      <c r="L1604" s="37">
        <v>25.57</v>
      </c>
      <c r="M1604" s="37">
        <v>40275.46</v>
      </c>
      <c r="N1604" s="38">
        <v>3.78</v>
      </c>
    </row>
    <row r="1605" spans="1:14" x14ac:dyDescent="0.3">
      <c r="A1605" s="33">
        <v>45498</v>
      </c>
      <c r="B1605" s="34" t="s">
        <v>74</v>
      </c>
      <c r="C1605" s="34" t="s">
        <v>70</v>
      </c>
      <c r="D1605" s="34" t="s">
        <v>76</v>
      </c>
      <c r="E1605" s="34" t="s">
        <v>77</v>
      </c>
      <c r="F1605" s="35">
        <v>186775</v>
      </c>
      <c r="G1605" s="35">
        <v>2409</v>
      </c>
      <c r="H1605" s="36">
        <v>1.29E-2</v>
      </c>
      <c r="I1605" s="37">
        <v>0.69</v>
      </c>
      <c r="J1605" s="37">
        <v>1662.21</v>
      </c>
      <c r="K1605" s="35">
        <v>107</v>
      </c>
      <c r="L1605" s="37">
        <v>15.53</v>
      </c>
      <c r="M1605" s="37">
        <v>10079.709999999999</v>
      </c>
      <c r="N1605" s="38">
        <v>6.06</v>
      </c>
    </row>
    <row r="1606" spans="1:14" x14ac:dyDescent="0.3">
      <c r="A1606" s="33">
        <v>45397</v>
      </c>
      <c r="B1606" s="34" t="s">
        <v>60</v>
      </c>
      <c r="C1606" s="34" t="s">
        <v>67</v>
      </c>
      <c r="D1606" s="34" t="s">
        <v>62</v>
      </c>
      <c r="E1606" s="34" t="s">
        <v>77</v>
      </c>
      <c r="F1606" s="35">
        <v>57328</v>
      </c>
      <c r="G1606" s="35">
        <v>2161</v>
      </c>
      <c r="H1606" s="36">
        <v>3.7699999999999997E-2</v>
      </c>
      <c r="I1606" s="37">
        <v>1.53</v>
      </c>
      <c r="J1606" s="37">
        <v>3306.33</v>
      </c>
      <c r="K1606" s="35">
        <v>99</v>
      </c>
      <c r="L1606" s="37">
        <v>33.4</v>
      </c>
      <c r="M1606" s="37">
        <v>17903.97</v>
      </c>
      <c r="N1606" s="38">
        <v>5.42</v>
      </c>
    </row>
    <row r="1607" spans="1:14" x14ac:dyDescent="0.3">
      <c r="A1607" s="33">
        <v>45344</v>
      </c>
      <c r="B1607" s="34" t="s">
        <v>60</v>
      </c>
      <c r="C1607" s="34" t="s">
        <v>67</v>
      </c>
      <c r="D1607" s="34" t="s">
        <v>71</v>
      </c>
      <c r="E1607" s="34" t="s">
        <v>77</v>
      </c>
      <c r="F1607" s="35">
        <v>87570</v>
      </c>
      <c r="G1607" s="35">
        <v>3415</v>
      </c>
      <c r="H1607" s="36">
        <v>3.9E-2</v>
      </c>
      <c r="I1607" s="37">
        <v>2.57</v>
      </c>
      <c r="J1607" s="37">
        <v>8776.5499999999993</v>
      </c>
      <c r="K1607" s="35">
        <v>236</v>
      </c>
      <c r="L1607" s="37">
        <v>37.19</v>
      </c>
      <c r="M1607" s="37">
        <v>46705.85</v>
      </c>
      <c r="N1607" s="38">
        <v>5.32</v>
      </c>
    </row>
    <row r="1608" spans="1:14" x14ac:dyDescent="0.3">
      <c r="A1608" s="33">
        <v>45461</v>
      </c>
      <c r="B1608" s="34" t="s">
        <v>74</v>
      </c>
      <c r="C1608" s="34" t="s">
        <v>67</v>
      </c>
      <c r="D1608" s="34" t="s">
        <v>71</v>
      </c>
      <c r="E1608" s="34" t="s">
        <v>63</v>
      </c>
      <c r="F1608" s="35">
        <v>54864</v>
      </c>
      <c r="G1608" s="35">
        <v>1876</v>
      </c>
      <c r="H1608" s="36">
        <v>3.4200000000000001E-2</v>
      </c>
      <c r="I1608" s="37">
        <v>1.52</v>
      </c>
      <c r="J1608" s="37">
        <v>2851.52</v>
      </c>
      <c r="K1608" s="35">
        <v>121</v>
      </c>
      <c r="L1608" s="37">
        <v>23.57</v>
      </c>
      <c r="M1608" s="37">
        <v>23640.39</v>
      </c>
      <c r="N1608" s="38">
        <v>8.2899999999999991</v>
      </c>
    </row>
    <row r="1609" spans="1:14" x14ac:dyDescent="0.3">
      <c r="A1609" s="33">
        <v>45600</v>
      </c>
      <c r="B1609" s="34" t="s">
        <v>60</v>
      </c>
      <c r="C1609" s="34" t="s">
        <v>75</v>
      </c>
      <c r="D1609" s="34" t="s">
        <v>71</v>
      </c>
      <c r="E1609" s="34" t="s">
        <v>78</v>
      </c>
      <c r="F1609" s="35">
        <v>91861</v>
      </c>
      <c r="G1609" s="35">
        <v>2535</v>
      </c>
      <c r="H1609" s="36">
        <v>2.76E-2</v>
      </c>
      <c r="I1609" s="37">
        <v>1.24</v>
      </c>
      <c r="J1609" s="37">
        <v>3143.4</v>
      </c>
      <c r="K1609" s="35">
        <v>137</v>
      </c>
      <c r="L1609" s="37">
        <v>22.94</v>
      </c>
      <c r="M1609" s="37">
        <v>8299.82</v>
      </c>
      <c r="N1609" s="38">
        <v>2.64</v>
      </c>
    </row>
    <row r="1610" spans="1:14" x14ac:dyDescent="0.3">
      <c r="A1610" s="33">
        <v>45447</v>
      </c>
      <c r="B1610" s="34" t="s">
        <v>74</v>
      </c>
      <c r="C1610" s="34" t="s">
        <v>61</v>
      </c>
      <c r="D1610" s="34" t="s">
        <v>76</v>
      </c>
      <c r="E1610" s="34" t="s">
        <v>78</v>
      </c>
      <c r="F1610" s="35">
        <v>16920</v>
      </c>
      <c r="G1610" s="35">
        <v>389</v>
      </c>
      <c r="H1610" s="36">
        <v>2.3E-2</v>
      </c>
      <c r="I1610" s="37">
        <v>1.23</v>
      </c>
      <c r="J1610" s="37">
        <v>478.47</v>
      </c>
      <c r="K1610" s="35">
        <v>15</v>
      </c>
      <c r="L1610" s="37">
        <v>31.9</v>
      </c>
      <c r="M1610" s="37">
        <v>3222.58</v>
      </c>
      <c r="N1610" s="38">
        <v>6.74</v>
      </c>
    </row>
    <row r="1611" spans="1:14" x14ac:dyDescent="0.3">
      <c r="A1611" s="33">
        <v>45520</v>
      </c>
      <c r="B1611" s="34" t="s">
        <v>74</v>
      </c>
      <c r="C1611" s="34" t="s">
        <v>70</v>
      </c>
      <c r="D1611" s="34" t="s">
        <v>68</v>
      </c>
      <c r="E1611" s="34" t="s">
        <v>77</v>
      </c>
      <c r="F1611" s="35">
        <v>117421</v>
      </c>
      <c r="G1611" s="35">
        <v>3428</v>
      </c>
      <c r="H1611" s="36">
        <v>2.92E-2</v>
      </c>
      <c r="I1611" s="37">
        <v>0.61</v>
      </c>
      <c r="J1611" s="37">
        <v>2091.08</v>
      </c>
      <c r="K1611" s="35">
        <v>99</v>
      </c>
      <c r="L1611" s="37">
        <v>21.12</v>
      </c>
      <c r="M1611" s="37">
        <v>25079.21</v>
      </c>
      <c r="N1611" s="38">
        <v>11.99</v>
      </c>
    </row>
    <row r="1612" spans="1:14" x14ac:dyDescent="0.3">
      <c r="A1612" s="33">
        <v>45472</v>
      </c>
      <c r="B1612" s="34" t="s">
        <v>60</v>
      </c>
      <c r="C1612" s="34" t="s">
        <v>75</v>
      </c>
      <c r="D1612" s="34" t="s">
        <v>65</v>
      </c>
      <c r="E1612" s="34" t="s">
        <v>66</v>
      </c>
      <c r="F1612" s="35">
        <v>146332</v>
      </c>
      <c r="G1612" s="35">
        <v>7184</v>
      </c>
      <c r="H1612" s="36">
        <v>4.9099999999999998E-2</v>
      </c>
      <c r="I1612" s="37">
        <v>2.8</v>
      </c>
      <c r="J1612" s="37">
        <v>20115.2</v>
      </c>
      <c r="K1612" s="35">
        <v>366</v>
      </c>
      <c r="L1612" s="37">
        <v>54.96</v>
      </c>
      <c r="M1612" s="37">
        <v>40775.67</v>
      </c>
      <c r="N1612" s="38">
        <v>2.0299999999999998</v>
      </c>
    </row>
    <row r="1613" spans="1:14" x14ac:dyDescent="0.3">
      <c r="A1613" s="33">
        <v>45302</v>
      </c>
      <c r="B1613" s="34" t="s">
        <v>74</v>
      </c>
      <c r="C1613" s="34" t="s">
        <v>70</v>
      </c>
      <c r="D1613" s="34" t="s">
        <v>71</v>
      </c>
      <c r="E1613" s="34" t="s">
        <v>69</v>
      </c>
      <c r="F1613" s="35">
        <v>144993</v>
      </c>
      <c r="G1613" s="35">
        <v>2783</v>
      </c>
      <c r="H1613" s="36">
        <v>1.9199999999999998E-2</v>
      </c>
      <c r="I1613" s="37">
        <v>1.47</v>
      </c>
      <c r="J1613" s="37">
        <v>4091.01</v>
      </c>
      <c r="K1613" s="35">
        <v>120</v>
      </c>
      <c r="L1613" s="37">
        <v>34.090000000000003</v>
      </c>
      <c r="M1613" s="37">
        <v>10562.14</v>
      </c>
      <c r="N1613" s="38">
        <v>2.58</v>
      </c>
    </row>
    <row r="1614" spans="1:14" x14ac:dyDescent="0.3">
      <c r="A1614" s="33">
        <v>45501</v>
      </c>
      <c r="B1614" s="34" t="s">
        <v>60</v>
      </c>
      <c r="C1614" s="34" t="s">
        <v>75</v>
      </c>
      <c r="D1614" s="34" t="s">
        <v>62</v>
      </c>
      <c r="E1614" s="34" t="s">
        <v>73</v>
      </c>
      <c r="F1614" s="35">
        <v>35702</v>
      </c>
      <c r="G1614" s="35">
        <v>999</v>
      </c>
      <c r="H1614" s="36">
        <v>2.8000000000000001E-2</v>
      </c>
      <c r="I1614" s="37">
        <v>1.58</v>
      </c>
      <c r="J1614" s="37">
        <v>1578.42</v>
      </c>
      <c r="K1614" s="35">
        <v>15</v>
      </c>
      <c r="L1614" s="37">
        <v>105.23</v>
      </c>
      <c r="M1614" s="37">
        <v>2820.45</v>
      </c>
      <c r="N1614" s="38">
        <v>1.79</v>
      </c>
    </row>
    <row r="1615" spans="1:14" x14ac:dyDescent="0.3">
      <c r="A1615" s="33">
        <v>45536</v>
      </c>
      <c r="B1615" s="34" t="s">
        <v>60</v>
      </c>
      <c r="C1615" s="34" t="s">
        <v>70</v>
      </c>
      <c r="D1615" s="34" t="s">
        <v>68</v>
      </c>
      <c r="E1615" s="34" t="s">
        <v>72</v>
      </c>
      <c r="F1615" s="35">
        <v>184976</v>
      </c>
      <c r="G1615" s="35">
        <v>6270</v>
      </c>
      <c r="H1615" s="36">
        <v>3.39E-2</v>
      </c>
      <c r="I1615" s="37">
        <v>2.66</v>
      </c>
      <c r="J1615" s="37">
        <v>16678.2</v>
      </c>
      <c r="K1615" s="35">
        <v>412</v>
      </c>
      <c r="L1615" s="37">
        <v>40.479999999999997</v>
      </c>
      <c r="M1615" s="37">
        <v>40433.910000000003</v>
      </c>
      <c r="N1615" s="38">
        <v>2.42</v>
      </c>
    </row>
    <row r="1616" spans="1:14" x14ac:dyDescent="0.3">
      <c r="A1616" s="33">
        <v>45453</v>
      </c>
      <c r="B1616" s="34" t="s">
        <v>60</v>
      </c>
      <c r="C1616" s="34" t="s">
        <v>61</v>
      </c>
      <c r="D1616" s="34" t="s">
        <v>76</v>
      </c>
      <c r="E1616" s="34" t="s">
        <v>63</v>
      </c>
      <c r="F1616" s="35">
        <v>119235</v>
      </c>
      <c r="G1616" s="35">
        <v>5258</v>
      </c>
      <c r="H1616" s="36">
        <v>4.41E-2</v>
      </c>
      <c r="I1616" s="37">
        <v>1.1000000000000001</v>
      </c>
      <c r="J1616" s="37">
        <v>5783.8</v>
      </c>
      <c r="K1616" s="35">
        <v>141</v>
      </c>
      <c r="L1616" s="37">
        <v>41.02</v>
      </c>
      <c r="M1616" s="37">
        <v>24150.02</v>
      </c>
      <c r="N1616" s="38">
        <v>4.18</v>
      </c>
    </row>
    <row r="1617" spans="1:14" x14ac:dyDescent="0.3">
      <c r="A1617" s="33">
        <v>45518</v>
      </c>
      <c r="B1617" s="34" t="s">
        <v>60</v>
      </c>
      <c r="C1617" s="34" t="s">
        <v>70</v>
      </c>
      <c r="D1617" s="34" t="s">
        <v>65</v>
      </c>
      <c r="E1617" s="34" t="s">
        <v>77</v>
      </c>
      <c r="F1617" s="35">
        <v>127211</v>
      </c>
      <c r="G1617" s="35">
        <v>3968</v>
      </c>
      <c r="H1617" s="36">
        <v>3.1199999999999999E-2</v>
      </c>
      <c r="I1617" s="37">
        <v>2.63</v>
      </c>
      <c r="J1617" s="37">
        <v>10435.84</v>
      </c>
      <c r="K1617" s="35">
        <v>194</v>
      </c>
      <c r="L1617" s="37">
        <v>53.79</v>
      </c>
      <c r="M1617" s="37">
        <v>37337.18</v>
      </c>
      <c r="N1617" s="38">
        <v>3.58</v>
      </c>
    </row>
    <row r="1618" spans="1:14" x14ac:dyDescent="0.3">
      <c r="A1618" s="33">
        <v>45642</v>
      </c>
      <c r="B1618" s="34" t="s">
        <v>64</v>
      </c>
      <c r="C1618" s="34" t="s">
        <v>67</v>
      </c>
      <c r="D1618" s="34" t="s">
        <v>62</v>
      </c>
      <c r="E1618" s="34" t="s">
        <v>69</v>
      </c>
      <c r="F1618" s="35">
        <v>27584</v>
      </c>
      <c r="G1618" s="35">
        <v>1561</v>
      </c>
      <c r="H1618" s="36">
        <v>5.6599999999999998E-2</v>
      </c>
      <c r="I1618" s="37">
        <v>0.94</v>
      </c>
      <c r="J1618" s="37">
        <v>1467.34</v>
      </c>
      <c r="K1618" s="35">
        <v>93</v>
      </c>
      <c r="L1618" s="37">
        <v>15.78</v>
      </c>
      <c r="M1618" s="37">
        <v>19425.98</v>
      </c>
      <c r="N1618" s="38">
        <v>13.24</v>
      </c>
    </row>
    <row r="1619" spans="1:14" x14ac:dyDescent="0.3">
      <c r="A1619" s="33">
        <v>45437</v>
      </c>
      <c r="B1619" s="34" t="s">
        <v>60</v>
      </c>
      <c r="C1619" s="34" t="s">
        <v>70</v>
      </c>
      <c r="D1619" s="34" t="s">
        <v>71</v>
      </c>
      <c r="E1619" s="34" t="s">
        <v>72</v>
      </c>
      <c r="F1619" s="35">
        <v>194928</v>
      </c>
      <c r="G1619" s="35">
        <v>9161</v>
      </c>
      <c r="H1619" s="36">
        <v>4.7E-2</v>
      </c>
      <c r="I1619" s="37">
        <v>1.88</v>
      </c>
      <c r="J1619" s="37">
        <v>17222.68</v>
      </c>
      <c r="K1619" s="35">
        <v>571</v>
      </c>
      <c r="L1619" s="37">
        <v>30.16</v>
      </c>
      <c r="M1619" s="37">
        <v>17839.23</v>
      </c>
      <c r="N1619" s="38">
        <v>1.04</v>
      </c>
    </row>
    <row r="1620" spans="1:14" x14ac:dyDescent="0.3">
      <c r="A1620" s="33">
        <v>45591</v>
      </c>
      <c r="B1620" s="34" t="s">
        <v>60</v>
      </c>
      <c r="C1620" s="34" t="s">
        <v>61</v>
      </c>
      <c r="D1620" s="34" t="s">
        <v>76</v>
      </c>
      <c r="E1620" s="34" t="s">
        <v>78</v>
      </c>
      <c r="F1620" s="35">
        <v>90349</v>
      </c>
      <c r="G1620" s="35">
        <v>5420</v>
      </c>
      <c r="H1620" s="36">
        <v>0.06</v>
      </c>
      <c r="I1620" s="37">
        <v>3.02</v>
      </c>
      <c r="J1620" s="37">
        <v>16368.4</v>
      </c>
      <c r="K1620" s="35">
        <v>105</v>
      </c>
      <c r="L1620" s="37">
        <v>155.88999999999999</v>
      </c>
      <c r="M1620" s="37">
        <v>16913.07</v>
      </c>
      <c r="N1620" s="38">
        <v>1.03</v>
      </c>
    </row>
    <row r="1621" spans="1:14" x14ac:dyDescent="0.3">
      <c r="A1621" s="33">
        <v>45481</v>
      </c>
      <c r="B1621" s="34" t="s">
        <v>64</v>
      </c>
      <c r="C1621" s="34" t="s">
        <v>67</v>
      </c>
      <c r="D1621" s="34" t="s">
        <v>65</v>
      </c>
      <c r="E1621" s="34" t="s">
        <v>72</v>
      </c>
      <c r="F1621" s="35">
        <v>170011</v>
      </c>
      <c r="G1621" s="35">
        <v>10149</v>
      </c>
      <c r="H1621" s="36">
        <v>5.9700000000000003E-2</v>
      </c>
      <c r="I1621" s="37">
        <v>0.55000000000000004</v>
      </c>
      <c r="J1621" s="37">
        <v>5581.95</v>
      </c>
      <c r="K1621" s="35">
        <v>110</v>
      </c>
      <c r="L1621" s="37">
        <v>50.74</v>
      </c>
      <c r="M1621" s="37">
        <v>29617.759999999998</v>
      </c>
      <c r="N1621" s="38">
        <v>5.31</v>
      </c>
    </row>
    <row r="1622" spans="1:14" x14ac:dyDescent="0.3">
      <c r="A1622" s="33">
        <v>45510</v>
      </c>
      <c r="B1622" s="34" t="s">
        <v>60</v>
      </c>
      <c r="C1622" s="34" t="s">
        <v>75</v>
      </c>
      <c r="D1622" s="34" t="s">
        <v>68</v>
      </c>
      <c r="E1622" s="34" t="s">
        <v>69</v>
      </c>
      <c r="F1622" s="35">
        <v>54158</v>
      </c>
      <c r="G1622" s="35">
        <v>3374</v>
      </c>
      <c r="H1622" s="36">
        <v>6.2300000000000001E-2</v>
      </c>
      <c r="I1622" s="37">
        <v>0.81</v>
      </c>
      <c r="J1622" s="37">
        <v>2732.94</v>
      </c>
      <c r="K1622" s="35">
        <v>55</v>
      </c>
      <c r="L1622" s="37">
        <v>49.69</v>
      </c>
      <c r="M1622" s="37">
        <v>5839.17</v>
      </c>
      <c r="N1622" s="38">
        <v>2.14</v>
      </c>
    </row>
    <row r="1623" spans="1:14" x14ac:dyDescent="0.3">
      <c r="A1623" s="33">
        <v>45293</v>
      </c>
      <c r="B1623" s="34" t="s">
        <v>74</v>
      </c>
      <c r="C1623" s="34" t="s">
        <v>75</v>
      </c>
      <c r="D1623" s="34" t="s">
        <v>71</v>
      </c>
      <c r="E1623" s="34" t="s">
        <v>66</v>
      </c>
      <c r="F1623" s="35">
        <v>143485</v>
      </c>
      <c r="G1623" s="35">
        <v>3945</v>
      </c>
      <c r="H1623" s="36">
        <v>2.75E-2</v>
      </c>
      <c r="I1623" s="37">
        <v>0.71</v>
      </c>
      <c r="J1623" s="37">
        <v>2800.95</v>
      </c>
      <c r="K1623" s="35">
        <v>187</v>
      </c>
      <c r="L1623" s="37">
        <v>14.98</v>
      </c>
      <c r="M1623" s="37">
        <v>30765.32</v>
      </c>
      <c r="N1623" s="38">
        <v>10.98</v>
      </c>
    </row>
    <row r="1624" spans="1:14" x14ac:dyDescent="0.3">
      <c r="A1624" s="33">
        <v>45340</v>
      </c>
      <c r="B1624" s="34" t="s">
        <v>60</v>
      </c>
      <c r="C1624" s="34" t="s">
        <v>67</v>
      </c>
      <c r="D1624" s="34" t="s">
        <v>62</v>
      </c>
      <c r="E1624" s="34" t="s">
        <v>73</v>
      </c>
      <c r="F1624" s="35">
        <v>165470</v>
      </c>
      <c r="G1624" s="35">
        <v>4136</v>
      </c>
      <c r="H1624" s="36">
        <v>2.5000000000000001E-2</v>
      </c>
      <c r="I1624" s="37">
        <v>0.82</v>
      </c>
      <c r="J1624" s="37">
        <v>3391.52</v>
      </c>
      <c r="K1624" s="35">
        <v>56</v>
      </c>
      <c r="L1624" s="37">
        <v>60.56</v>
      </c>
      <c r="M1624" s="37">
        <v>12113.24</v>
      </c>
      <c r="N1624" s="38">
        <v>3.57</v>
      </c>
    </row>
    <row r="1625" spans="1:14" x14ac:dyDescent="0.3">
      <c r="A1625" s="33">
        <v>45423</v>
      </c>
      <c r="B1625" s="34" t="s">
        <v>74</v>
      </c>
      <c r="C1625" s="34" t="s">
        <v>61</v>
      </c>
      <c r="D1625" s="34" t="s">
        <v>65</v>
      </c>
      <c r="E1625" s="34" t="s">
        <v>69</v>
      </c>
      <c r="F1625" s="35">
        <v>112596</v>
      </c>
      <c r="G1625" s="35">
        <v>2668</v>
      </c>
      <c r="H1625" s="36">
        <v>2.3699999999999999E-2</v>
      </c>
      <c r="I1625" s="37">
        <v>1.2</v>
      </c>
      <c r="J1625" s="37">
        <v>3201.6</v>
      </c>
      <c r="K1625" s="35">
        <v>39</v>
      </c>
      <c r="L1625" s="37">
        <v>82.09</v>
      </c>
      <c r="M1625" s="37">
        <v>10899.61</v>
      </c>
      <c r="N1625" s="38">
        <v>3.4</v>
      </c>
    </row>
    <row r="1626" spans="1:14" x14ac:dyDescent="0.3">
      <c r="A1626" s="33">
        <v>45476</v>
      </c>
      <c r="B1626" s="34" t="s">
        <v>60</v>
      </c>
      <c r="C1626" s="34" t="s">
        <v>67</v>
      </c>
      <c r="D1626" s="34" t="s">
        <v>65</v>
      </c>
      <c r="E1626" s="34" t="s">
        <v>73</v>
      </c>
      <c r="F1626" s="35">
        <v>82604</v>
      </c>
      <c r="G1626" s="35">
        <v>5146</v>
      </c>
      <c r="H1626" s="36">
        <v>6.2300000000000001E-2</v>
      </c>
      <c r="I1626" s="37">
        <v>2.88</v>
      </c>
      <c r="J1626" s="37">
        <v>14820.48</v>
      </c>
      <c r="K1626" s="35">
        <v>75</v>
      </c>
      <c r="L1626" s="37">
        <v>197.61</v>
      </c>
      <c r="M1626" s="37">
        <v>11977.45</v>
      </c>
      <c r="N1626" s="38">
        <v>0.81</v>
      </c>
    </row>
    <row r="1627" spans="1:14" x14ac:dyDescent="0.3">
      <c r="A1627" s="33">
        <v>45468</v>
      </c>
      <c r="B1627" s="34" t="s">
        <v>60</v>
      </c>
      <c r="C1627" s="34" t="s">
        <v>75</v>
      </c>
      <c r="D1627" s="34" t="s">
        <v>68</v>
      </c>
      <c r="E1627" s="34" t="s">
        <v>63</v>
      </c>
      <c r="F1627" s="35">
        <v>162454</v>
      </c>
      <c r="G1627" s="35">
        <v>4337</v>
      </c>
      <c r="H1627" s="36">
        <v>2.6700000000000002E-2</v>
      </c>
      <c r="I1627" s="37">
        <v>1.57</v>
      </c>
      <c r="J1627" s="37">
        <v>6809.09</v>
      </c>
      <c r="K1627" s="35">
        <v>329</v>
      </c>
      <c r="L1627" s="37">
        <v>20.7</v>
      </c>
      <c r="M1627" s="37">
        <v>13568.06</v>
      </c>
      <c r="N1627" s="38">
        <v>1.99</v>
      </c>
    </row>
    <row r="1628" spans="1:14" x14ac:dyDescent="0.3">
      <c r="A1628" s="33">
        <v>45585</v>
      </c>
      <c r="B1628" s="34" t="s">
        <v>64</v>
      </c>
      <c r="C1628" s="34" t="s">
        <v>70</v>
      </c>
      <c r="D1628" s="34" t="s">
        <v>76</v>
      </c>
      <c r="E1628" s="34" t="s">
        <v>66</v>
      </c>
      <c r="F1628" s="35">
        <v>143667</v>
      </c>
      <c r="G1628" s="35">
        <v>6852</v>
      </c>
      <c r="H1628" s="36">
        <v>4.7699999999999999E-2</v>
      </c>
      <c r="I1628" s="37">
        <v>1.1299999999999999</v>
      </c>
      <c r="J1628" s="37">
        <v>7742.76</v>
      </c>
      <c r="K1628" s="35">
        <v>142</v>
      </c>
      <c r="L1628" s="37">
        <v>54.53</v>
      </c>
      <c r="M1628" s="37">
        <v>19589.64</v>
      </c>
      <c r="N1628" s="38">
        <v>2.5299999999999998</v>
      </c>
    </row>
    <row r="1629" spans="1:14" x14ac:dyDescent="0.3">
      <c r="A1629" s="33">
        <v>45338</v>
      </c>
      <c r="B1629" s="34" t="s">
        <v>60</v>
      </c>
      <c r="C1629" s="34" t="s">
        <v>67</v>
      </c>
      <c r="D1629" s="34" t="s">
        <v>68</v>
      </c>
      <c r="E1629" s="34" t="s">
        <v>78</v>
      </c>
      <c r="F1629" s="35">
        <v>83702</v>
      </c>
      <c r="G1629" s="35">
        <v>3900</v>
      </c>
      <c r="H1629" s="36">
        <v>4.6600000000000003E-2</v>
      </c>
      <c r="I1629" s="37">
        <v>2.1800000000000002</v>
      </c>
      <c r="J1629" s="37">
        <v>8502</v>
      </c>
      <c r="K1629" s="35">
        <v>60</v>
      </c>
      <c r="L1629" s="37">
        <v>141.69999999999999</v>
      </c>
      <c r="M1629" s="37">
        <v>11812.78</v>
      </c>
      <c r="N1629" s="38">
        <v>1.39</v>
      </c>
    </row>
    <row r="1630" spans="1:14" x14ac:dyDescent="0.3">
      <c r="A1630" s="33">
        <v>45334</v>
      </c>
      <c r="B1630" s="34" t="s">
        <v>64</v>
      </c>
      <c r="C1630" s="34" t="s">
        <v>67</v>
      </c>
      <c r="D1630" s="34" t="s">
        <v>62</v>
      </c>
      <c r="E1630" s="34" t="s">
        <v>69</v>
      </c>
      <c r="F1630" s="35">
        <v>41497</v>
      </c>
      <c r="G1630" s="35">
        <v>3299</v>
      </c>
      <c r="H1630" s="36">
        <v>7.9500000000000001E-2</v>
      </c>
      <c r="I1630" s="37">
        <v>0.65</v>
      </c>
      <c r="J1630" s="37">
        <v>2144.35</v>
      </c>
      <c r="K1630" s="35">
        <v>112</v>
      </c>
      <c r="L1630" s="37">
        <v>19.149999999999999</v>
      </c>
      <c r="M1630" s="37">
        <v>6822.75</v>
      </c>
      <c r="N1630" s="38">
        <v>3.18</v>
      </c>
    </row>
    <row r="1631" spans="1:14" x14ac:dyDescent="0.3">
      <c r="A1631" s="33">
        <v>45438</v>
      </c>
      <c r="B1631" s="34" t="s">
        <v>60</v>
      </c>
      <c r="C1631" s="34" t="s">
        <v>61</v>
      </c>
      <c r="D1631" s="34" t="s">
        <v>62</v>
      </c>
      <c r="E1631" s="34" t="s">
        <v>63</v>
      </c>
      <c r="F1631" s="35">
        <v>88442</v>
      </c>
      <c r="G1631" s="35">
        <v>2485</v>
      </c>
      <c r="H1631" s="36">
        <v>2.81E-2</v>
      </c>
      <c r="I1631" s="37">
        <v>2.89</v>
      </c>
      <c r="J1631" s="37">
        <v>7181.65</v>
      </c>
      <c r="K1631" s="35">
        <v>69</v>
      </c>
      <c r="L1631" s="37">
        <v>104.08</v>
      </c>
      <c r="M1631" s="37">
        <v>12989.18</v>
      </c>
      <c r="N1631" s="38">
        <v>1.81</v>
      </c>
    </row>
    <row r="1632" spans="1:14" x14ac:dyDescent="0.3">
      <c r="A1632" s="33">
        <v>45345</v>
      </c>
      <c r="B1632" s="34" t="s">
        <v>60</v>
      </c>
      <c r="C1632" s="34" t="s">
        <v>70</v>
      </c>
      <c r="D1632" s="34" t="s">
        <v>71</v>
      </c>
      <c r="E1632" s="34" t="s">
        <v>63</v>
      </c>
      <c r="F1632" s="35">
        <v>143723</v>
      </c>
      <c r="G1632" s="35">
        <v>4254</v>
      </c>
      <c r="H1632" s="36">
        <v>2.9600000000000001E-2</v>
      </c>
      <c r="I1632" s="37">
        <v>1.1399999999999999</v>
      </c>
      <c r="J1632" s="37">
        <v>4849.5600000000004</v>
      </c>
      <c r="K1632" s="35">
        <v>281</v>
      </c>
      <c r="L1632" s="37">
        <v>17.260000000000002</v>
      </c>
      <c r="M1632" s="37">
        <v>41783.61</v>
      </c>
      <c r="N1632" s="38">
        <v>8.6199999999999992</v>
      </c>
    </row>
    <row r="1633" spans="1:14" x14ac:dyDescent="0.3">
      <c r="A1633" s="33">
        <v>45580</v>
      </c>
      <c r="B1633" s="34" t="s">
        <v>74</v>
      </c>
      <c r="C1633" s="34" t="s">
        <v>61</v>
      </c>
      <c r="D1633" s="34" t="s">
        <v>71</v>
      </c>
      <c r="E1633" s="34" t="s">
        <v>66</v>
      </c>
      <c r="F1633" s="35">
        <v>30392</v>
      </c>
      <c r="G1633" s="35">
        <v>1325</v>
      </c>
      <c r="H1633" s="36">
        <v>4.36E-2</v>
      </c>
      <c r="I1633" s="37">
        <v>1.31</v>
      </c>
      <c r="J1633" s="37">
        <v>1735.75</v>
      </c>
      <c r="K1633" s="35">
        <v>101</v>
      </c>
      <c r="L1633" s="37">
        <v>17.190000000000001</v>
      </c>
      <c r="M1633" s="37">
        <v>3539.63</v>
      </c>
      <c r="N1633" s="38">
        <v>2.04</v>
      </c>
    </row>
    <row r="1634" spans="1:14" x14ac:dyDescent="0.3">
      <c r="A1634" s="33">
        <v>45422</v>
      </c>
      <c r="B1634" s="34" t="s">
        <v>60</v>
      </c>
      <c r="C1634" s="34" t="s">
        <v>67</v>
      </c>
      <c r="D1634" s="34" t="s">
        <v>76</v>
      </c>
      <c r="E1634" s="34" t="s">
        <v>77</v>
      </c>
      <c r="F1634" s="35">
        <v>94412</v>
      </c>
      <c r="G1634" s="35">
        <v>4786</v>
      </c>
      <c r="H1634" s="36">
        <v>5.0700000000000002E-2</v>
      </c>
      <c r="I1634" s="37">
        <v>1.29</v>
      </c>
      <c r="J1634" s="37">
        <v>6173.94</v>
      </c>
      <c r="K1634" s="35">
        <v>343</v>
      </c>
      <c r="L1634" s="37">
        <v>18</v>
      </c>
      <c r="M1634" s="37">
        <v>93767.6</v>
      </c>
      <c r="N1634" s="38">
        <v>15.19</v>
      </c>
    </row>
    <row r="1635" spans="1:14" x14ac:dyDescent="0.3">
      <c r="A1635" s="33">
        <v>45433</v>
      </c>
      <c r="B1635" s="34" t="s">
        <v>60</v>
      </c>
      <c r="C1635" s="34" t="s">
        <v>67</v>
      </c>
      <c r="D1635" s="34" t="s">
        <v>65</v>
      </c>
      <c r="E1635" s="34" t="s">
        <v>66</v>
      </c>
      <c r="F1635" s="35">
        <v>56305</v>
      </c>
      <c r="G1635" s="35">
        <v>1644</v>
      </c>
      <c r="H1635" s="36">
        <v>2.92E-2</v>
      </c>
      <c r="I1635" s="37">
        <v>1.65</v>
      </c>
      <c r="J1635" s="37">
        <v>2712.6</v>
      </c>
      <c r="K1635" s="35">
        <v>126</v>
      </c>
      <c r="L1635" s="37">
        <v>21.53</v>
      </c>
      <c r="M1635" s="37">
        <v>24269.48</v>
      </c>
      <c r="N1635" s="38">
        <v>8.9499999999999993</v>
      </c>
    </row>
    <row r="1636" spans="1:14" x14ac:dyDescent="0.3">
      <c r="A1636" s="33">
        <v>45564</v>
      </c>
      <c r="B1636" s="34" t="s">
        <v>64</v>
      </c>
      <c r="C1636" s="34" t="s">
        <v>75</v>
      </c>
      <c r="D1636" s="34" t="s">
        <v>71</v>
      </c>
      <c r="E1636" s="34" t="s">
        <v>72</v>
      </c>
      <c r="F1636" s="35">
        <v>142456</v>
      </c>
      <c r="G1636" s="35">
        <v>9943</v>
      </c>
      <c r="H1636" s="36">
        <v>6.9800000000000001E-2</v>
      </c>
      <c r="I1636" s="37">
        <v>0.91</v>
      </c>
      <c r="J1636" s="37">
        <v>9048.1299999999992</v>
      </c>
      <c r="K1636" s="35">
        <v>266</v>
      </c>
      <c r="L1636" s="37">
        <v>34.020000000000003</v>
      </c>
      <c r="M1636" s="37">
        <v>72736.17</v>
      </c>
      <c r="N1636" s="38">
        <v>8.0399999999999991</v>
      </c>
    </row>
    <row r="1637" spans="1:14" x14ac:dyDescent="0.3">
      <c r="A1637" s="33">
        <v>45652</v>
      </c>
      <c r="B1637" s="34" t="s">
        <v>74</v>
      </c>
      <c r="C1637" s="34" t="s">
        <v>75</v>
      </c>
      <c r="D1637" s="34" t="s">
        <v>65</v>
      </c>
      <c r="E1637" s="34" t="s">
        <v>78</v>
      </c>
      <c r="F1637" s="35">
        <v>27169</v>
      </c>
      <c r="G1637" s="35">
        <v>546</v>
      </c>
      <c r="H1637" s="36">
        <v>2.01E-2</v>
      </c>
      <c r="I1637" s="37">
        <v>1.08</v>
      </c>
      <c r="J1637" s="37">
        <v>589.67999999999995</v>
      </c>
      <c r="K1637" s="35">
        <v>15</v>
      </c>
      <c r="L1637" s="37">
        <v>39.31</v>
      </c>
      <c r="M1637" s="37">
        <v>1578.78</v>
      </c>
      <c r="N1637" s="38">
        <v>2.68</v>
      </c>
    </row>
    <row r="1638" spans="1:14" x14ac:dyDescent="0.3">
      <c r="A1638" s="33">
        <v>45550</v>
      </c>
      <c r="B1638" s="34" t="s">
        <v>60</v>
      </c>
      <c r="C1638" s="34" t="s">
        <v>67</v>
      </c>
      <c r="D1638" s="34" t="s">
        <v>71</v>
      </c>
      <c r="E1638" s="34" t="s">
        <v>72</v>
      </c>
      <c r="F1638" s="35">
        <v>127179</v>
      </c>
      <c r="G1638" s="35">
        <v>5125</v>
      </c>
      <c r="H1638" s="36">
        <v>4.0300000000000002E-2</v>
      </c>
      <c r="I1638" s="37">
        <v>2.2200000000000002</v>
      </c>
      <c r="J1638" s="37">
        <v>11377.5</v>
      </c>
      <c r="K1638" s="35">
        <v>87</v>
      </c>
      <c r="L1638" s="37">
        <v>130.78</v>
      </c>
      <c r="M1638" s="37">
        <v>5905.23</v>
      </c>
      <c r="N1638" s="38">
        <v>0.52</v>
      </c>
    </row>
    <row r="1639" spans="1:14" x14ac:dyDescent="0.3">
      <c r="A1639" s="33">
        <v>45491</v>
      </c>
      <c r="B1639" s="34" t="s">
        <v>60</v>
      </c>
      <c r="C1639" s="34" t="s">
        <v>70</v>
      </c>
      <c r="D1639" s="34" t="s">
        <v>62</v>
      </c>
      <c r="E1639" s="34" t="s">
        <v>69</v>
      </c>
      <c r="F1639" s="35">
        <v>20797</v>
      </c>
      <c r="G1639" s="35">
        <v>846</v>
      </c>
      <c r="H1639" s="36">
        <v>4.07E-2</v>
      </c>
      <c r="I1639" s="37">
        <v>1.08</v>
      </c>
      <c r="J1639" s="37">
        <v>913.68</v>
      </c>
      <c r="K1639" s="35">
        <v>56</v>
      </c>
      <c r="L1639" s="37">
        <v>16.32</v>
      </c>
      <c r="M1639" s="37">
        <v>11660.97</v>
      </c>
      <c r="N1639" s="38">
        <v>12.76</v>
      </c>
    </row>
    <row r="1640" spans="1:14" x14ac:dyDescent="0.3">
      <c r="A1640" s="33">
        <v>45517</v>
      </c>
      <c r="B1640" s="34" t="s">
        <v>74</v>
      </c>
      <c r="C1640" s="34" t="s">
        <v>70</v>
      </c>
      <c r="D1640" s="34" t="s">
        <v>76</v>
      </c>
      <c r="E1640" s="34" t="s">
        <v>69</v>
      </c>
      <c r="F1640" s="35">
        <v>188201</v>
      </c>
      <c r="G1640" s="35">
        <v>5627</v>
      </c>
      <c r="H1640" s="36">
        <v>2.9899999999999999E-2</v>
      </c>
      <c r="I1640" s="37">
        <v>1.88</v>
      </c>
      <c r="J1640" s="37">
        <v>10578.76</v>
      </c>
      <c r="K1640" s="35">
        <v>77</v>
      </c>
      <c r="L1640" s="37">
        <v>137.38999999999999</v>
      </c>
      <c r="M1640" s="37">
        <v>14242.93</v>
      </c>
      <c r="N1640" s="38">
        <v>1.35</v>
      </c>
    </row>
    <row r="1641" spans="1:14" x14ac:dyDescent="0.3">
      <c r="A1641" s="33">
        <v>45446</v>
      </c>
      <c r="B1641" s="34" t="s">
        <v>64</v>
      </c>
      <c r="C1641" s="34" t="s">
        <v>70</v>
      </c>
      <c r="D1641" s="34" t="s">
        <v>76</v>
      </c>
      <c r="E1641" s="34" t="s">
        <v>73</v>
      </c>
      <c r="F1641" s="35">
        <v>77726</v>
      </c>
      <c r="G1641" s="35">
        <v>2557</v>
      </c>
      <c r="H1641" s="36">
        <v>3.2899999999999999E-2</v>
      </c>
      <c r="I1641" s="37">
        <v>0.49</v>
      </c>
      <c r="J1641" s="37">
        <v>1252.93</v>
      </c>
      <c r="K1641" s="35">
        <v>37</v>
      </c>
      <c r="L1641" s="37">
        <v>33.86</v>
      </c>
      <c r="M1641" s="37">
        <v>2932.31</v>
      </c>
      <c r="N1641" s="38">
        <v>2.34</v>
      </c>
    </row>
    <row r="1642" spans="1:14" x14ac:dyDescent="0.3">
      <c r="A1642" s="33">
        <v>45361</v>
      </c>
      <c r="B1642" s="34" t="s">
        <v>74</v>
      </c>
      <c r="C1642" s="34" t="s">
        <v>61</v>
      </c>
      <c r="D1642" s="34" t="s">
        <v>65</v>
      </c>
      <c r="E1642" s="34" t="s">
        <v>78</v>
      </c>
      <c r="F1642" s="35">
        <v>23123</v>
      </c>
      <c r="G1642" s="35">
        <v>286</v>
      </c>
      <c r="H1642" s="36">
        <v>1.24E-2</v>
      </c>
      <c r="I1642" s="37">
        <v>1.21</v>
      </c>
      <c r="J1642" s="37">
        <v>346.06</v>
      </c>
      <c r="K1642" s="35">
        <v>3</v>
      </c>
      <c r="L1642" s="37">
        <v>115.35</v>
      </c>
      <c r="M1642" s="37">
        <v>585.70000000000005</v>
      </c>
      <c r="N1642" s="38">
        <v>1.69</v>
      </c>
    </row>
    <row r="1643" spans="1:14" x14ac:dyDescent="0.3">
      <c r="A1643" s="33">
        <v>45388</v>
      </c>
      <c r="B1643" s="34" t="s">
        <v>60</v>
      </c>
      <c r="C1643" s="34" t="s">
        <v>61</v>
      </c>
      <c r="D1643" s="34" t="s">
        <v>71</v>
      </c>
      <c r="E1643" s="34" t="s">
        <v>73</v>
      </c>
      <c r="F1643" s="35">
        <v>86689</v>
      </c>
      <c r="G1643" s="35">
        <v>3727</v>
      </c>
      <c r="H1643" s="36">
        <v>4.2999999999999997E-2</v>
      </c>
      <c r="I1643" s="37">
        <v>1.1599999999999999</v>
      </c>
      <c r="J1643" s="37">
        <v>4323.32</v>
      </c>
      <c r="K1643" s="35">
        <v>276</v>
      </c>
      <c r="L1643" s="37">
        <v>15.66</v>
      </c>
      <c r="M1643" s="37">
        <v>76876.240000000005</v>
      </c>
      <c r="N1643" s="38">
        <v>17.78</v>
      </c>
    </row>
    <row r="1644" spans="1:14" x14ac:dyDescent="0.3">
      <c r="A1644" s="33">
        <v>45429</v>
      </c>
      <c r="B1644" s="34" t="s">
        <v>60</v>
      </c>
      <c r="C1644" s="34" t="s">
        <v>61</v>
      </c>
      <c r="D1644" s="34" t="s">
        <v>68</v>
      </c>
      <c r="E1644" s="34" t="s">
        <v>69</v>
      </c>
      <c r="F1644" s="35">
        <v>159251</v>
      </c>
      <c r="G1644" s="35">
        <v>9172</v>
      </c>
      <c r="H1644" s="36">
        <v>5.7599999999999998E-2</v>
      </c>
      <c r="I1644" s="37">
        <v>2.84</v>
      </c>
      <c r="J1644" s="37">
        <v>26048.48</v>
      </c>
      <c r="K1644" s="35">
        <v>407</v>
      </c>
      <c r="L1644" s="37">
        <v>64</v>
      </c>
      <c r="M1644" s="37">
        <v>30602.6</v>
      </c>
      <c r="N1644" s="38">
        <v>1.17</v>
      </c>
    </row>
    <row r="1645" spans="1:14" x14ac:dyDescent="0.3">
      <c r="A1645" s="33">
        <v>45304</v>
      </c>
      <c r="B1645" s="34" t="s">
        <v>74</v>
      </c>
      <c r="C1645" s="34" t="s">
        <v>75</v>
      </c>
      <c r="D1645" s="34" t="s">
        <v>76</v>
      </c>
      <c r="E1645" s="34" t="s">
        <v>66</v>
      </c>
      <c r="F1645" s="35">
        <v>70180</v>
      </c>
      <c r="G1645" s="35">
        <v>736</v>
      </c>
      <c r="H1645" s="36">
        <v>1.0500000000000001E-2</v>
      </c>
      <c r="I1645" s="37">
        <v>1.4</v>
      </c>
      <c r="J1645" s="37">
        <v>1030.4000000000001</v>
      </c>
      <c r="K1645" s="35">
        <v>45</v>
      </c>
      <c r="L1645" s="37">
        <v>22.9</v>
      </c>
      <c r="M1645" s="37">
        <v>2168.7199999999998</v>
      </c>
      <c r="N1645" s="38">
        <v>2.1</v>
      </c>
    </row>
    <row r="1646" spans="1:14" x14ac:dyDescent="0.3">
      <c r="A1646" s="33">
        <v>45551</v>
      </c>
      <c r="B1646" s="34" t="s">
        <v>60</v>
      </c>
      <c r="C1646" s="34" t="s">
        <v>67</v>
      </c>
      <c r="D1646" s="34" t="s">
        <v>62</v>
      </c>
      <c r="E1646" s="34" t="s">
        <v>73</v>
      </c>
      <c r="F1646" s="35">
        <v>83466</v>
      </c>
      <c r="G1646" s="35">
        <v>4089</v>
      </c>
      <c r="H1646" s="36">
        <v>4.9000000000000002E-2</v>
      </c>
      <c r="I1646" s="37">
        <v>2.2599999999999998</v>
      </c>
      <c r="J1646" s="37">
        <v>9241.14</v>
      </c>
      <c r="K1646" s="35">
        <v>108</v>
      </c>
      <c r="L1646" s="37">
        <v>85.57</v>
      </c>
      <c r="M1646" s="37">
        <v>12521.2</v>
      </c>
      <c r="N1646" s="38">
        <v>1.35</v>
      </c>
    </row>
    <row r="1647" spans="1:14" x14ac:dyDescent="0.3">
      <c r="A1647" s="33">
        <v>45609</v>
      </c>
      <c r="B1647" s="34" t="s">
        <v>74</v>
      </c>
      <c r="C1647" s="34" t="s">
        <v>75</v>
      </c>
      <c r="D1647" s="34" t="s">
        <v>71</v>
      </c>
      <c r="E1647" s="34" t="s">
        <v>77</v>
      </c>
      <c r="F1647" s="35">
        <v>137602</v>
      </c>
      <c r="G1647" s="35">
        <v>2641</v>
      </c>
      <c r="H1647" s="36">
        <v>1.9199999999999998E-2</v>
      </c>
      <c r="I1647" s="37">
        <v>0.59</v>
      </c>
      <c r="J1647" s="37">
        <v>1558.19</v>
      </c>
      <c r="K1647" s="35">
        <v>179</v>
      </c>
      <c r="L1647" s="37">
        <v>8.6999999999999993</v>
      </c>
      <c r="M1647" s="37">
        <v>52473.54</v>
      </c>
      <c r="N1647" s="38">
        <v>33.68</v>
      </c>
    </row>
    <row r="1648" spans="1:14" x14ac:dyDescent="0.3">
      <c r="A1648" s="33">
        <v>45538</v>
      </c>
      <c r="B1648" s="34" t="s">
        <v>64</v>
      </c>
      <c r="C1648" s="34" t="s">
        <v>67</v>
      </c>
      <c r="D1648" s="34" t="s">
        <v>71</v>
      </c>
      <c r="E1648" s="34" t="s">
        <v>63</v>
      </c>
      <c r="F1648" s="35">
        <v>64222</v>
      </c>
      <c r="G1648" s="35">
        <v>2067</v>
      </c>
      <c r="H1648" s="36">
        <v>3.2199999999999999E-2</v>
      </c>
      <c r="I1648" s="37">
        <v>1.89</v>
      </c>
      <c r="J1648" s="37">
        <v>3906.63</v>
      </c>
      <c r="K1648" s="35">
        <v>68</v>
      </c>
      <c r="L1648" s="37">
        <v>57.45</v>
      </c>
      <c r="M1648" s="37">
        <v>14851.97</v>
      </c>
      <c r="N1648" s="38">
        <v>3.8</v>
      </c>
    </row>
    <row r="1649" spans="1:14" x14ac:dyDescent="0.3">
      <c r="A1649" s="33">
        <v>45481</v>
      </c>
      <c r="B1649" s="34" t="s">
        <v>64</v>
      </c>
      <c r="C1649" s="34" t="s">
        <v>70</v>
      </c>
      <c r="D1649" s="34" t="s">
        <v>68</v>
      </c>
      <c r="E1649" s="34" t="s">
        <v>77</v>
      </c>
      <c r="F1649" s="35">
        <v>116739</v>
      </c>
      <c r="G1649" s="35">
        <v>4319</v>
      </c>
      <c r="H1649" s="36">
        <v>3.6999999999999998E-2</v>
      </c>
      <c r="I1649" s="37">
        <v>0.34</v>
      </c>
      <c r="J1649" s="37">
        <v>1468.46</v>
      </c>
      <c r="K1649" s="35">
        <v>306</v>
      </c>
      <c r="L1649" s="37">
        <v>4.8</v>
      </c>
      <c r="M1649" s="37">
        <v>46873.98</v>
      </c>
      <c r="N1649" s="38">
        <v>31.92</v>
      </c>
    </row>
    <row r="1650" spans="1:14" x14ac:dyDescent="0.3">
      <c r="A1650" s="33">
        <v>45656</v>
      </c>
      <c r="B1650" s="34" t="s">
        <v>74</v>
      </c>
      <c r="C1650" s="34" t="s">
        <v>70</v>
      </c>
      <c r="D1650" s="34" t="s">
        <v>68</v>
      </c>
      <c r="E1650" s="34" t="s">
        <v>69</v>
      </c>
      <c r="F1650" s="35">
        <v>50869</v>
      </c>
      <c r="G1650" s="35">
        <v>890</v>
      </c>
      <c r="H1650" s="36">
        <v>1.7500000000000002E-2</v>
      </c>
      <c r="I1650" s="37">
        <v>1.08</v>
      </c>
      <c r="J1650" s="37">
        <v>961.2</v>
      </c>
      <c r="K1650" s="35">
        <v>61</v>
      </c>
      <c r="L1650" s="37">
        <v>15.76</v>
      </c>
      <c r="M1650" s="37">
        <v>16803.54</v>
      </c>
      <c r="N1650" s="38">
        <v>17.48</v>
      </c>
    </row>
    <row r="1651" spans="1:14" x14ac:dyDescent="0.3">
      <c r="A1651" s="33">
        <v>45628</v>
      </c>
      <c r="B1651" s="34" t="s">
        <v>74</v>
      </c>
      <c r="C1651" s="34" t="s">
        <v>61</v>
      </c>
      <c r="D1651" s="34" t="s">
        <v>65</v>
      </c>
      <c r="E1651" s="34" t="s">
        <v>72</v>
      </c>
      <c r="F1651" s="35">
        <v>127155</v>
      </c>
      <c r="G1651" s="35">
        <v>3089</v>
      </c>
      <c r="H1651" s="36">
        <v>2.4299999999999999E-2</v>
      </c>
      <c r="I1651" s="37">
        <v>1.25</v>
      </c>
      <c r="J1651" s="37">
        <v>3861.25</v>
      </c>
      <c r="K1651" s="35">
        <v>95</v>
      </c>
      <c r="L1651" s="37">
        <v>40.64</v>
      </c>
      <c r="M1651" s="37">
        <v>23894.639999999999</v>
      </c>
      <c r="N1651" s="38">
        <v>6.19</v>
      </c>
    </row>
    <row r="1652" spans="1:14" x14ac:dyDescent="0.3">
      <c r="A1652" s="33">
        <v>45377</v>
      </c>
      <c r="B1652" s="34" t="s">
        <v>60</v>
      </c>
      <c r="C1652" s="34" t="s">
        <v>67</v>
      </c>
      <c r="D1652" s="34" t="s">
        <v>65</v>
      </c>
      <c r="E1652" s="34" t="s">
        <v>72</v>
      </c>
      <c r="F1652" s="35">
        <v>162883</v>
      </c>
      <c r="G1652" s="35">
        <v>8974</v>
      </c>
      <c r="H1652" s="36">
        <v>5.5100000000000003E-2</v>
      </c>
      <c r="I1652" s="37">
        <v>2.38</v>
      </c>
      <c r="J1652" s="37">
        <v>21358.12</v>
      </c>
      <c r="K1652" s="35">
        <v>292</v>
      </c>
      <c r="L1652" s="37">
        <v>73.14</v>
      </c>
      <c r="M1652" s="37">
        <v>80812.08</v>
      </c>
      <c r="N1652" s="38">
        <v>3.78</v>
      </c>
    </row>
    <row r="1653" spans="1:14" x14ac:dyDescent="0.3">
      <c r="A1653" s="33">
        <v>45308</v>
      </c>
      <c r="B1653" s="34" t="s">
        <v>64</v>
      </c>
      <c r="C1653" s="34" t="s">
        <v>61</v>
      </c>
      <c r="D1653" s="34" t="s">
        <v>71</v>
      </c>
      <c r="E1653" s="34" t="s">
        <v>73</v>
      </c>
      <c r="F1653" s="35">
        <v>115716</v>
      </c>
      <c r="G1653" s="35">
        <v>7394</v>
      </c>
      <c r="H1653" s="36">
        <v>6.3899999999999998E-2</v>
      </c>
      <c r="I1653" s="37">
        <v>1.1599999999999999</v>
      </c>
      <c r="J1653" s="37">
        <v>8577.0400000000009</v>
      </c>
      <c r="K1653" s="35">
        <v>242</v>
      </c>
      <c r="L1653" s="37">
        <v>35.44</v>
      </c>
      <c r="M1653" s="37">
        <v>49142.559999999998</v>
      </c>
      <c r="N1653" s="38">
        <v>5.73</v>
      </c>
    </row>
    <row r="1654" spans="1:14" x14ac:dyDescent="0.3">
      <c r="A1654" s="33">
        <v>45457</v>
      </c>
      <c r="B1654" s="34" t="s">
        <v>60</v>
      </c>
      <c r="C1654" s="34" t="s">
        <v>67</v>
      </c>
      <c r="D1654" s="34" t="s">
        <v>65</v>
      </c>
      <c r="E1654" s="34" t="s">
        <v>69</v>
      </c>
      <c r="F1654" s="35">
        <v>40306</v>
      </c>
      <c r="G1654" s="35">
        <v>1176</v>
      </c>
      <c r="H1654" s="36">
        <v>2.92E-2</v>
      </c>
      <c r="I1654" s="37">
        <v>0.85</v>
      </c>
      <c r="J1654" s="37">
        <v>999.6</v>
      </c>
      <c r="K1654" s="35">
        <v>41</v>
      </c>
      <c r="L1654" s="37">
        <v>24.38</v>
      </c>
      <c r="M1654" s="37">
        <v>11838.48</v>
      </c>
      <c r="N1654" s="38">
        <v>11.84</v>
      </c>
    </row>
    <row r="1655" spans="1:14" x14ac:dyDescent="0.3">
      <c r="A1655" s="33">
        <v>45351</v>
      </c>
      <c r="B1655" s="34" t="s">
        <v>64</v>
      </c>
      <c r="C1655" s="34" t="s">
        <v>61</v>
      </c>
      <c r="D1655" s="34" t="s">
        <v>62</v>
      </c>
      <c r="E1655" s="34" t="s">
        <v>73</v>
      </c>
      <c r="F1655" s="35">
        <v>138025</v>
      </c>
      <c r="G1655" s="35">
        <v>9192</v>
      </c>
      <c r="H1655" s="36">
        <v>6.6600000000000006E-2</v>
      </c>
      <c r="I1655" s="37">
        <v>0.64</v>
      </c>
      <c r="J1655" s="37">
        <v>5882.88</v>
      </c>
      <c r="K1655" s="35">
        <v>420</v>
      </c>
      <c r="L1655" s="37">
        <v>14.01</v>
      </c>
      <c r="M1655" s="37">
        <v>38810.35</v>
      </c>
      <c r="N1655" s="38">
        <v>6.6</v>
      </c>
    </row>
    <row r="1656" spans="1:14" x14ac:dyDescent="0.3">
      <c r="A1656" s="33">
        <v>45327</v>
      </c>
      <c r="B1656" s="34" t="s">
        <v>74</v>
      </c>
      <c r="C1656" s="34" t="s">
        <v>67</v>
      </c>
      <c r="D1656" s="34" t="s">
        <v>71</v>
      </c>
      <c r="E1656" s="34" t="s">
        <v>77</v>
      </c>
      <c r="F1656" s="35">
        <v>145510</v>
      </c>
      <c r="G1656" s="35">
        <v>5805</v>
      </c>
      <c r="H1656" s="36">
        <v>3.9899999999999998E-2</v>
      </c>
      <c r="I1656" s="37">
        <v>1.04</v>
      </c>
      <c r="J1656" s="37">
        <v>6037.2</v>
      </c>
      <c r="K1656" s="35">
        <v>166</v>
      </c>
      <c r="L1656" s="37">
        <v>36.369999999999997</v>
      </c>
      <c r="M1656" s="37">
        <v>30713.7</v>
      </c>
      <c r="N1656" s="38">
        <v>5.09</v>
      </c>
    </row>
    <row r="1657" spans="1:14" x14ac:dyDescent="0.3">
      <c r="A1657" s="33">
        <v>45542</v>
      </c>
      <c r="B1657" s="34" t="s">
        <v>64</v>
      </c>
      <c r="C1657" s="34" t="s">
        <v>75</v>
      </c>
      <c r="D1657" s="34" t="s">
        <v>62</v>
      </c>
      <c r="E1657" s="34" t="s">
        <v>69</v>
      </c>
      <c r="F1657" s="35">
        <v>168297</v>
      </c>
      <c r="G1657" s="35">
        <v>10535</v>
      </c>
      <c r="H1657" s="36">
        <v>6.2600000000000003E-2</v>
      </c>
      <c r="I1657" s="37">
        <v>1.4</v>
      </c>
      <c r="J1657" s="37">
        <v>14749</v>
      </c>
      <c r="K1657" s="35">
        <v>561</v>
      </c>
      <c r="L1657" s="37">
        <v>26.29</v>
      </c>
      <c r="M1657" s="37">
        <v>30094.65</v>
      </c>
      <c r="N1657" s="38">
        <v>2.04</v>
      </c>
    </row>
    <row r="1658" spans="1:14" x14ac:dyDescent="0.3">
      <c r="A1658" s="33">
        <v>45640</v>
      </c>
      <c r="B1658" s="34" t="s">
        <v>74</v>
      </c>
      <c r="C1658" s="34" t="s">
        <v>61</v>
      </c>
      <c r="D1658" s="34" t="s">
        <v>76</v>
      </c>
      <c r="E1658" s="34" t="s">
        <v>78</v>
      </c>
      <c r="F1658" s="35">
        <v>66157</v>
      </c>
      <c r="G1658" s="35">
        <v>1687</v>
      </c>
      <c r="H1658" s="36">
        <v>2.5499999999999998E-2</v>
      </c>
      <c r="I1658" s="37">
        <v>1.3</v>
      </c>
      <c r="J1658" s="37">
        <v>2193.1</v>
      </c>
      <c r="K1658" s="35">
        <v>41</v>
      </c>
      <c r="L1658" s="37">
        <v>53.49</v>
      </c>
      <c r="M1658" s="37">
        <v>5082.9399999999996</v>
      </c>
      <c r="N1658" s="38">
        <v>2.3199999999999998</v>
      </c>
    </row>
    <row r="1659" spans="1:14" x14ac:dyDescent="0.3">
      <c r="A1659" s="33">
        <v>45377</v>
      </c>
      <c r="B1659" s="34" t="s">
        <v>74</v>
      </c>
      <c r="C1659" s="34" t="s">
        <v>70</v>
      </c>
      <c r="D1659" s="34" t="s">
        <v>62</v>
      </c>
      <c r="E1659" s="34" t="s">
        <v>77</v>
      </c>
      <c r="F1659" s="35">
        <v>115003</v>
      </c>
      <c r="G1659" s="35">
        <v>2921</v>
      </c>
      <c r="H1659" s="36">
        <v>2.5399999999999999E-2</v>
      </c>
      <c r="I1659" s="37">
        <v>0.4</v>
      </c>
      <c r="J1659" s="37">
        <v>1168.4000000000001</v>
      </c>
      <c r="K1659" s="35">
        <v>36</v>
      </c>
      <c r="L1659" s="37">
        <v>32.46</v>
      </c>
      <c r="M1659" s="37">
        <v>4203.1899999999996</v>
      </c>
      <c r="N1659" s="38">
        <v>3.6</v>
      </c>
    </row>
    <row r="1660" spans="1:14" x14ac:dyDescent="0.3">
      <c r="A1660" s="33">
        <v>45310</v>
      </c>
      <c r="B1660" s="34" t="s">
        <v>74</v>
      </c>
      <c r="C1660" s="34" t="s">
        <v>70</v>
      </c>
      <c r="D1660" s="34" t="s">
        <v>68</v>
      </c>
      <c r="E1660" s="34" t="s">
        <v>69</v>
      </c>
      <c r="F1660" s="35">
        <v>173292</v>
      </c>
      <c r="G1660" s="35">
        <v>7330</v>
      </c>
      <c r="H1660" s="36">
        <v>4.2299999999999997E-2</v>
      </c>
      <c r="I1660" s="37">
        <v>1.88</v>
      </c>
      <c r="J1660" s="37">
        <v>13780.4</v>
      </c>
      <c r="K1660" s="35">
        <v>355</v>
      </c>
      <c r="L1660" s="37">
        <v>38.82</v>
      </c>
      <c r="M1660" s="37">
        <v>66981.679999999993</v>
      </c>
      <c r="N1660" s="38">
        <v>4.8600000000000003</v>
      </c>
    </row>
    <row r="1661" spans="1:14" x14ac:dyDescent="0.3">
      <c r="A1661" s="33">
        <v>45298</v>
      </c>
      <c r="B1661" s="34" t="s">
        <v>74</v>
      </c>
      <c r="C1661" s="34" t="s">
        <v>67</v>
      </c>
      <c r="D1661" s="34" t="s">
        <v>65</v>
      </c>
      <c r="E1661" s="34" t="s">
        <v>72</v>
      </c>
      <c r="F1661" s="35">
        <v>94440</v>
      </c>
      <c r="G1661" s="35">
        <v>2219</v>
      </c>
      <c r="H1661" s="36">
        <v>2.35E-2</v>
      </c>
      <c r="I1661" s="37">
        <v>1.93</v>
      </c>
      <c r="J1661" s="37">
        <v>4282.67</v>
      </c>
      <c r="K1661" s="35">
        <v>156</v>
      </c>
      <c r="L1661" s="37">
        <v>27.45</v>
      </c>
      <c r="M1661" s="37">
        <v>39424.239999999998</v>
      </c>
      <c r="N1661" s="38">
        <v>9.2100000000000009</v>
      </c>
    </row>
    <row r="1662" spans="1:14" x14ac:dyDescent="0.3">
      <c r="A1662" s="33">
        <v>45467</v>
      </c>
      <c r="B1662" s="34" t="s">
        <v>74</v>
      </c>
      <c r="C1662" s="34" t="s">
        <v>67</v>
      </c>
      <c r="D1662" s="34" t="s">
        <v>68</v>
      </c>
      <c r="E1662" s="34" t="s">
        <v>77</v>
      </c>
      <c r="F1662" s="35">
        <v>93003</v>
      </c>
      <c r="G1662" s="35">
        <v>1283</v>
      </c>
      <c r="H1662" s="36">
        <v>1.38E-2</v>
      </c>
      <c r="I1662" s="37">
        <v>1.76</v>
      </c>
      <c r="J1662" s="37">
        <v>2258.08</v>
      </c>
      <c r="K1662" s="35">
        <v>49</v>
      </c>
      <c r="L1662" s="37">
        <v>46.08</v>
      </c>
      <c r="M1662" s="37">
        <v>1614.11</v>
      </c>
      <c r="N1662" s="38">
        <v>0.71</v>
      </c>
    </row>
    <row r="1663" spans="1:14" x14ac:dyDescent="0.3">
      <c r="A1663" s="33">
        <v>45324</v>
      </c>
      <c r="B1663" s="34" t="s">
        <v>64</v>
      </c>
      <c r="C1663" s="34" t="s">
        <v>67</v>
      </c>
      <c r="D1663" s="34" t="s">
        <v>76</v>
      </c>
      <c r="E1663" s="34" t="s">
        <v>69</v>
      </c>
      <c r="F1663" s="35">
        <v>112294</v>
      </c>
      <c r="G1663" s="35">
        <v>9039</v>
      </c>
      <c r="H1663" s="36">
        <v>8.0500000000000002E-2</v>
      </c>
      <c r="I1663" s="37">
        <v>0.99</v>
      </c>
      <c r="J1663" s="37">
        <v>8948.61</v>
      </c>
      <c r="K1663" s="35">
        <v>99</v>
      </c>
      <c r="L1663" s="37">
        <v>90.39</v>
      </c>
      <c r="M1663" s="37">
        <v>20435.34</v>
      </c>
      <c r="N1663" s="38">
        <v>2.2799999999999998</v>
      </c>
    </row>
    <row r="1664" spans="1:14" x14ac:dyDescent="0.3">
      <c r="A1664" s="33">
        <v>45434</v>
      </c>
      <c r="B1664" s="34" t="s">
        <v>74</v>
      </c>
      <c r="C1664" s="34" t="s">
        <v>75</v>
      </c>
      <c r="D1664" s="34" t="s">
        <v>71</v>
      </c>
      <c r="E1664" s="34" t="s">
        <v>69</v>
      </c>
      <c r="F1664" s="35">
        <v>165321</v>
      </c>
      <c r="G1664" s="35">
        <v>4447</v>
      </c>
      <c r="H1664" s="36">
        <v>2.69E-2</v>
      </c>
      <c r="I1664" s="37">
        <v>1.56</v>
      </c>
      <c r="J1664" s="37">
        <v>6937.32</v>
      </c>
      <c r="K1664" s="35">
        <v>301</v>
      </c>
      <c r="L1664" s="37">
        <v>23.05</v>
      </c>
      <c r="M1664" s="37">
        <v>23975.23</v>
      </c>
      <c r="N1664" s="38">
        <v>3.46</v>
      </c>
    </row>
    <row r="1665" spans="1:14" x14ac:dyDescent="0.3">
      <c r="A1665" s="33">
        <v>45607</v>
      </c>
      <c r="B1665" s="34" t="s">
        <v>64</v>
      </c>
      <c r="C1665" s="34" t="s">
        <v>67</v>
      </c>
      <c r="D1665" s="34" t="s">
        <v>68</v>
      </c>
      <c r="E1665" s="34" t="s">
        <v>69</v>
      </c>
      <c r="F1665" s="35">
        <v>137895</v>
      </c>
      <c r="G1665" s="35">
        <v>5901</v>
      </c>
      <c r="H1665" s="36">
        <v>4.2799999999999998E-2</v>
      </c>
      <c r="I1665" s="37">
        <v>1.34</v>
      </c>
      <c r="J1665" s="37">
        <v>7907.34</v>
      </c>
      <c r="K1665" s="35">
        <v>379</v>
      </c>
      <c r="L1665" s="37">
        <v>20.86</v>
      </c>
      <c r="M1665" s="37">
        <v>86835.97</v>
      </c>
      <c r="N1665" s="38">
        <v>10.98</v>
      </c>
    </row>
    <row r="1666" spans="1:14" x14ac:dyDescent="0.3">
      <c r="A1666" s="33">
        <v>45349</v>
      </c>
      <c r="B1666" s="34" t="s">
        <v>64</v>
      </c>
      <c r="C1666" s="34" t="s">
        <v>75</v>
      </c>
      <c r="D1666" s="34" t="s">
        <v>76</v>
      </c>
      <c r="E1666" s="34" t="s">
        <v>72</v>
      </c>
      <c r="F1666" s="35">
        <v>7978</v>
      </c>
      <c r="G1666" s="35">
        <v>557</v>
      </c>
      <c r="H1666" s="36">
        <v>6.9900000000000004E-2</v>
      </c>
      <c r="I1666" s="37">
        <v>0.61</v>
      </c>
      <c r="J1666" s="37">
        <v>339.77</v>
      </c>
      <c r="K1666" s="35">
        <v>34</v>
      </c>
      <c r="L1666" s="37">
        <v>9.99</v>
      </c>
      <c r="M1666" s="37">
        <v>6686.61</v>
      </c>
      <c r="N1666" s="38">
        <v>19.68</v>
      </c>
    </row>
    <row r="1667" spans="1:14" x14ac:dyDescent="0.3">
      <c r="A1667" s="33">
        <v>45330</v>
      </c>
      <c r="B1667" s="34" t="s">
        <v>64</v>
      </c>
      <c r="C1667" s="34" t="s">
        <v>75</v>
      </c>
      <c r="D1667" s="34" t="s">
        <v>62</v>
      </c>
      <c r="E1667" s="34" t="s">
        <v>72</v>
      </c>
      <c r="F1667" s="35">
        <v>113994</v>
      </c>
      <c r="G1667" s="35">
        <v>4320</v>
      </c>
      <c r="H1667" s="36">
        <v>3.7900000000000003E-2</v>
      </c>
      <c r="I1667" s="37">
        <v>0.77</v>
      </c>
      <c r="J1667" s="37">
        <v>3326.4</v>
      </c>
      <c r="K1667" s="35">
        <v>142</v>
      </c>
      <c r="L1667" s="37">
        <v>23.43</v>
      </c>
      <c r="M1667" s="37">
        <v>25985.24</v>
      </c>
      <c r="N1667" s="38">
        <v>7.81</v>
      </c>
    </row>
    <row r="1668" spans="1:14" x14ac:dyDescent="0.3">
      <c r="A1668" s="33">
        <v>45338</v>
      </c>
      <c r="B1668" s="34" t="s">
        <v>60</v>
      </c>
      <c r="C1668" s="34" t="s">
        <v>61</v>
      </c>
      <c r="D1668" s="34" t="s">
        <v>65</v>
      </c>
      <c r="E1668" s="34" t="s">
        <v>63</v>
      </c>
      <c r="F1668" s="35">
        <v>90794</v>
      </c>
      <c r="G1668" s="35">
        <v>5638</v>
      </c>
      <c r="H1668" s="36">
        <v>6.2100000000000002E-2</v>
      </c>
      <c r="I1668" s="37">
        <v>3.1</v>
      </c>
      <c r="J1668" s="37">
        <v>17477.8</v>
      </c>
      <c r="K1668" s="35">
        <v>217</v>
      </c>
      <c r="L1668" s="37">
        <v>80.540000000000006</v>
      </c>
      <c r="M1668" s="37">
        <v>54642.18</v>
      </c>
      <c r="N1668" s="38">
        <v>3.13</v>
      </c>
    </row>
    <row r="1669" spans="1:14" x14ac:dyDescent="0.3">
      <c r="A1669" s="33">
        <v>45646</v>
      </c>
      <c r="B1669" s="34" t="s">
        <v>74</v>
      </c>
      <c r="C1669" s="34" t="s">
        <v>75</v>
      </c>
      <c r="D1669" s="34" t="s">
        <v>68</v>
      </c>
      <c r="E1669" s="34" t="s">
        <v>78</v>
      </c>
      <c r="F1669" s="35">
        <v>118694</v>
      </c>
      <c r="G1669" s="35">
        <v>2338</v>
      </c>
      <c r="H1669" s="36">
        <v>1.9699999999999999E-2</v>
      </c>
      <c r="I1669" s="37">
        <v>2.2599999999999998</v>
      </c>
      <c r="J1669" s="37">
        <v>5283.88</v>
      </c>
      <c r="K1669" s="35">
        <v>76</v>
      </c>
      <c r="L1669" s="37">
        <v>69.52</v>
      </c>
      <c r="M1669" s="37">
        <v>6774.6</v>
      </c>
      <c r="N1669" s="38">
        <v>1.28</v>
      </c>
    </row>
    <row r="1670" spans="1:14" x14ac:dyDescent="0.3">
      <c r="A1670" s="33">
        <v>45490</v>
      </c>
      <c r="B1670" s="34" t="s">
        <v>60</v>
      </c>
      <c r="C1670" s="34" t="s">
        <v>70</v>
      </c>
      <c r="D1670" s="34" t="s">
        <v>68</v>
      </c>
      <c r="E1670" s="34" t="s">
        <v>63</v>
      </c>
      <c r="F1670" s="35">
        <v>99805</v>
      </c>
      <c r="G1670" s="35">
        <v>1936</v>
      </c>
      <c r="H1670" s="36">
        <v>1.9400000000000001E-2</v>
      </c>
      <c r="I1670" s="37">
        <v>1.4</v>
      </c>
      <c r="J1670" s="37">
        <v>2710.4</v>
      </c>
      <c r="K1670" s="35">
        <v>112</v>
      </c>
      <c r="L1670" s="37">
        <v>24.2</v>
      </c>
      <c r="M1670" s="37">
        <v>29346.97</v>
      </c>
      <c r="N1670" s="38">
        <v>10.83</v>
      </c>
    </row>
    <row r="1671" spans="1:14" x14ac:dyDescent="0.3">
      <c r="A1671" s="33">
        <v>45321</v>
      </c>
      <c r="B1671" s="34" t="s">
        <v>60</v>
      </c>
      <c r="C1671" s="34" t="s">
        <v>61</v>
      </c>
      <c r="D1671" s="34" t="s">
        <v>62</v>
      </c>
      <c r="E1671" s="34" t="s">
        <v>73</v>
      </c>
      <c r="F1671" s="35">
        <v>187156</v>
      </c>
      <c r="G1671" s="35">
        <v>3986</v>
      </c>
      <c r="H1671" s="36">
        <v>2.1299999999999999E-2</v>
      </c>
      <c r="I1671" s="37">
        <v>2.39</v>
      </c>
      <c r="J1671" s="37">
        <v>9526.5400000000009</v>
      </c>
      <c r="K1671" s="35">
        <v>269</v>
      </c>
      <c r="L1671" s="37">
        <v>35.409999999999997</v>
      </c>
      <c r="M1671" s="37">
        <v>34393.230000000003</v>
      </c>
      <c r="N1671" s="38">
        <v>3.61</v>
      </c>
    </row>
    <row r="1672" spans="1:14" x14ac:dyDescent="0.3">
      <c r="A1672" s="33">
        <v>45508</v>
      </c>
      <c r="B1672" s="34" t="s">
        <v>64</v>
      </c>
      <c r="C1672" s="34" t="s">
        <v>67</v>
      </c>
      <c r="D1672" s="34" t="s">
        <v>65</v>
      </c>
      <c r="E1672" s="34" t="s">
        <v>63</v>
      </c>
      <c r="F1672" s="35">
        <v>120152</v>
      </c>
      <c r="G1672" s="35">
        <v>4613</v>
      </c>
      <c r="H1672" s="36">
        <v>3.8399999999999997E-2</v>
      </c>
      <c r="I1672" s="37">
        <v>0.97</v>
      </c>
      <c r="J1672" s="37">
        <v>4474.6099999999997</v>
      </c>
      <c r="K1672" s="35">
        <v>108</v>
      </c>
      <c r="L1672" s="37">
        <v>41.43</v>
      </c>
      <c r="M1672" s="37">
        <v>27205.77</v>
      </c>
      <c r="N1672" s="38">
        <v>6.08</v>
      </c>
    </row>
    <row r="1673" spans="1:14" x14ac:dyDescent="0.3">
      <c r="A1673" s="33">
        <v>45642</v>
      </c>
      <c r="B1673" s="34" t="s">
        <v>60</v>
      </c>
      <c r="C1673" s="34" t="s">
        <v>61</v>
      </c>
      <c r="D1673" s="34" t="s">
        <v>62</v>
      </c>
      <c r="E1673" s="34" t="s">
        <v>66</v>
      </c>
      <c r="F1673" s="35">
        <v>117458</v>
      </c>
      <c r="G1673" s="35">
        <v>6824</v>
      </c>
      <c r="H1673" s="36">
        <v>5.8099999999999999E-2</v>
      </c>
      <c r="I1673" s="37">
        <v>2.0099999999999998</v>
      </c>
      <c r="J1673" s="37">
        <v>13716.24</v>
      </c>
      <c r="K1673" s="35">
        <v>251</v>
      </c>
      <c r="L1673" s="37">
        <v>54.65</v>
      </c>
      <c r="M1673" s="37">
        <v>12200.18</v>
      </c>
      <c r="N1673" s="38">
        <v>0.89</v>
      </c>
    </row>
    <row r="1674" spans="1:14" x14ac:dyDescent="0.3">
      <c r="A1674" s="33">
        <v>45465</v>
      </c>
      <c r="B1674" s="34" t="s">
        <v>74</v>
      </c>
      <c r="C1674" s="34" t="s">
        <v>67</v>
      </c>
      <c r="D1674" s="34" t="s">
        <v>65</v>
      </c>
      <c r="E1674" s="34" t="s">
        <v>78</v>
      </c>
      <c r="F1674" s="35">
        <v>35398</v>
      </c>
      <c r="G1674" s="35">
        <v>1044</v>
      </c>
      <c r="H1674" s="36">
        <v>2.9499999999999998E-2</v>
      </c>
      <c r="I1674" s="37">
        <v>0.45</v>
      </c>
      <c r="J1674" s="37">
        <v>469.8</v>
      </c>
      <c r="K1674" s="35">
        <v>20</v>
      </c>
      <c r="L1674" s="37">
        <v>23.49</v>
      </c>
      <c r="M1674" s="37">
        <v>1596.24</v>
      </c>
      <c r="N1674" s="38">
        <v>3.4</v>
      </c>
    </row>
    <row r="1675" spans="1:14" x14ac:dyDescent="0.3">
      <c r="A1675" s="33">
        <v>45381</v>
      </c>
      <c r="B1675" s="34" t="s">
        <v>64</v>
      </c>
      <c r="C1675" s="34" t="s">
        <v>67</v>
      </c>
      <c r="D1675" s="34" t="s">
        <v>68</v>
      </c>
      <c r="E1675" s="34" t="s">
        <v>77</v>
      </c>
      <c r="F1675" s="35">
        <v>98386</v>
      </c>
      <c r="G1675" s="35">
        <v>7556</v>
      </c>
      <c r="H1675" s="36">
        <v>7.6799999999999993E-2</v>
      </c>
      <c r="I1675" s="37">
        <v>0.35</v>
      </c>
      <c r="J1675" s="37">
        <v>2644.6</v>
      </c>
      <c r="K1675" s="35">
        <v>385</v>
      </c>
      <c r="L1675" s="37">
        <v>6.87</v>
      </c>
      <c r="M1675" s="37">
        <v>43735.3</v>
      </c>
      <c r="N1675" s="38">
        <v>16.54</v>
      </c>
    </row>
    <row r="1676" spans="1:14" x14ac:dyDescent="0.3">
      <c r="A1676" s="33">
        <v>45510</v>
      </c>
      <c r="B1676" s="34" t="s">
        <v>74</v>
      </c>
      <c r="C1676" s="34" t="s">
        <v>67</v>
      </c>
      <c r="D1676" s="34" t="s">
        <v>76</v>
      </c>
      <c r="E1676" s="34" t="s">
        <v>73</v>
      </c>
      <c r="F1676" s="35">
        <v>70133</v>
      </c>
      <c r="G1676" s="35">
        <v>2293</v>
      </c>
      <c r="H1676" s="36">
        <v>3.27E-2</v>
      </c>
      <c r="I1676" s="37">
        <v>1.04</v>
      </c>
      <c r="J1676" s="37">
        <v>2384.7199999999998</v>
      </c>
      <c r="K1676" s="35">
        <v>75</v>
      </c>
      <c r="L1676" s="37">
        <v>31.8</v>
      </c>
      <c r="M1676" s="37">
        <v>14249.95</v>
      </c>
      <c r="N1676" s="38">
        <v>5.98</v>
      </c>
    </row>
    <row r="1677" spans="1:14" x14ac:dyDescent="0.3">
      <c r="A1677" s="33">
        <v>45469</v>
      </c>
      <c r="B1677" s="34" t="s">
        <v>60</v>
      </c>
      <c r="C1677" s="34" t="s">
        <v>67</v>
      </c>
      <c r="D1677" s="34" t="s">
        <v>71</v>
      </c>
      <c r="E1677" s="34" t="s">
        <v>69</v>
      </c>
      <c r="F1677" s="35">
        <v>30169</v>
      </c>
      <c r="G1677" s="35">
        <v>1523</v>
      </c>
      <c r="H1677" s="36">
        <v>5.0500000000000003E-2</v>
      </c>
      <c r="I1677" s="37">
        <v>1.44</v>
      </c>
      <c r="J1677" s="37">
        <v>2193.12</v>
      </c>
      <c r="K1677" s="35">
        <v>34</v>
      </c>
      <c r="L1677" s="37">
        <v>64.5</v>
      </c>
      <c r="M1677" s="37">
        <v>8282.7099999999991</v>
      </c>
      <c r="N1677" s="38">
        <v>3.78</v>
      </c>
    </row>
    <row r="1678" spans="1:14" x14ac:dyDescent="0.3">
      <c r="A1678" s="33">
        <v>45316</v>
      </c>
      <c r="B1678" s="34" t="s">
        <v>60</v>
      </c>
      <c r="C1678" s="34" t="s">
        <v>61</v>
      </c>
      <c r="D1678" s="34" t="s">
        <v>65</v>
      </c>
      <c r="E1678" s="34" t="s">
        <v>72</v>
      </c>
      <c r="F1678" s="35">
        <v>122959</v>
      </c>
      <c r="G1678" s="35">
        <v>3553</v>
      </c>
      <c r="H1678" s="36">
        <v>2.8899999999999999E-2</v>
      </c>
      <c r="I1678" s="37">
        <v>1.67</v>
      </c>
      <c r="J1678" s="37">
        <v>5933.51</v>
      </c>
      <c r="K1678" s="35">
        <v>133</v>
      </c>
      <c r="L1678" s="37">
        <v>44.61</v>
      </c>
      <c r="M1678" s="37">
        <v>11079.66</v>
      </c>
      <c r="N1678" s="38">
        <v>1.87</v>
      </c>
    </row>
    <row r="1679" spans="1:14" x14ac:dyDescent="0.3">
      <c r="A1679" s="33">
        <v>45394</v>
      </c>
      <c r="B1679" s="34" t="s">
        <v>74</v>
      </c>
      <c r="C1679" s="34" t="s">
        <v>61</v>
      </c>
      <c r="D1679" s="34" t="s">
        <v>68</v>
      </c>
      <c r="E1679" s="34" t="s">
        <v>78</v>
      </c>
      <c r="F1679" s="35">
        <v>73083</v>
      </c>
      <c r="G1679" s="35">
        <v>3040</v>
      </c>
      <c r="H1679" s="36">
        <v>4.1599999999999998E-2</v>
      </c>
      <c r="I1679" s="37">
        <v>0.6</v>
      </c>
      <c r="J1679" s="37">
        <v>1824</v>
      </c>
      <c r="K1679" s="35">
        <v>203</v>
      </c>
      <c r="L1679" s="37">
        <v>8.99</v>
      </c>
      <c r="M1679" s="37">
        <v>29701.35</v>
      </c>
      <c r="N1679" s="38">
        <v>16.28</v>
      </c>
    </row>
    <row r="1680" spans="1:14" x14ac:dyDescent="0.3">
      <c r="A1680" s="33">
        <v>45414</v>
      </c>
      <c r="B1680" s="34" t="s">
        <v>74</v>
      </c>
      <c r="C1680" s="34" t="s">
        <v>75</v>
      </c>
      <c r="D1680" s="34" t="s">
        <v>62</v>
      </c>
      <c r="E1680" s="34" t="s">
        <v>77</v>
      </c>
      <c r="F1680" s="35">
        <v>113889</v>
      </c>
      <c r="G1680" s="35">
        <v>4623</v>
      </c>
      <c r="H1680" s="36">
        <v>4.0599999999999997E-2</v>
      </c>
      <c r="I1680" s="37">
        <v>1.19</v>
      </c>
      <c r="J1680" s="37">
        <v>5501.37</v>
      </c>
      <c r="K1680" s="35">
        <v>362</v>
      </c>
      <c r="L1680" s="37">
        <v>15.2</v>
      </c>
      <c r="M1680" s="37">
        <v>19216.96</v>
      </c>
      <c r="N1680" s="38">
        <v>3.49</v>
      </c>
    </row>
    <row r="1681" spans="1:14" x14ac:dyDescent="0.3">
      <c r="A1681" s="33">
        <v>45466</v>
      </c>
      <c r="B1681" s="34" t="s">
        <v>74</v>
      </c>
      <c r="C1681" s="34" t="s">
        <v>61</v>
      </c>
      <c r="D1681" s="34" t="s">
        <v>68</v>
      </c>
      <c r="E1681" s="34" t="s">
        <v>78</v>
      </c>
      <c r="F1681" s="35">
        <v>57203</v>
      </c>
      <c r="G1681" s="35">
        <v>1029</v>
      </c>
      <c r="H1681" s="36">
        <v>1.7999999999999999E-2</v>
      </c>
      <c r="I1681" s="37">
        <v>0.87</v>
      </c>
      <c r="J1681" s="37">
        <v>895.23</v>
      </c>
      <c r="K1681" s="35">
        <v>11</v>
      </c>
      <c r="L1681" s="37">
        <v>81.38</v>
      </c>
      <c r="M1681" s="37">
        <v>1505.4</v>
      </c>
      <c r="N1681" s="38">
        <v>1.68</v>
      </c>
    </row>
    <row r="1682" spans="1:14" x14ac:dyDescent="0.3">
      <c r="A1682" s="33">
        <v>45485</v>
      </c>
      <c r="B1682" s="34" t="s">
        <v>64</v>
      </c>
      <c r="C1682" s="34" t="s">
        <v>75</v>
      </c>
      <c r="D1682" s="34" t="s">
        <v>71</v>
      </c>
      <c r="E1682" s="34" t="s">
        <v>63</v>
      </c>
      <c r="F1682" s="35">
        <v>36562</v>
      </c>
      <c r="G1682" s="35">
        <v>1257</v>
      </c>
      <c r="H1682" s="36">
        <v>3.44E-2</v>
      </c>
      <c r="I1682" s="37">
        <v>0.43</v>
      </c>
      <c r="J1682" s="37">
        <v>540.51</v>
      </c>
      <c r="K1682" s="35">
        <v>74</v>
      </c>
      <c r="L1682" s="37">
        <v>7.3</v>
      </c>
      <c r="M1682" s="37">
        <v>11838.52</v>
      </c>
      <c r="N1682" s="38">
        <v>21.9</v>
      </c>
    </row>
    <row r="1683" spans="1:14" x14ac:dyDescent="0.3">
      <c r="A1683" s="33">
        <v>45627</v>
      </c>
      <c r="B1683" s="34" t="s">
        <v>60</v>
      </c>
      <c r="C1683" s="34" t="s">
        <v>61</v>
      </c>
      <c r="D1683" s="34" t="s">
        <v>65</v>
      </c>
      <c r="E1683" s="34" t="s">
        <v>69</v>
      </c>
      <c r="F1683" s="35">
        <v>177256</v>
      </c>
      <c r="G1683" s="35">
        <v>4059</v>
      </c>
      <c r="H1683" s="36">
        <v>2.29E-2</v>
      </c>
      <c r="I1683" s="37">
        <v>2.19</v>
      </c>
      <c r="J1683" s="37">
        <v>8889.2099999999991</v>
      </c>
      <c r="K1683" s="35">
        <v>138</v>
      </c>
      <c r="L1683" s="37">
        <v>64.41</v>
      </c>
      <c r="M1683" s="37">
        <v>32140.46</v>
      </c>
      <c r="N1683" s="38">
        <v>3.62</v>
      </c>
    </row>
    <row r="1684" spans="1:14" x14ac:dyDescent="0.3">
      <c r="A1684" s="33">
        <v>45345</v>
      </c>
      <c r="B1684" s="34" t="s">
        <v>64</v>
      </c>
      <c r="C1684" s="34" t="s">
        <v>70</v>
      </c>
      <c r="D1684" s="34" t="s">
        <v>71</v>
      </c>
      <c r="E1684" s="34" t="s">
        <v>77</v>
      </c>
      <c r="F1684" s="35">
        <v>179036</v>
      </c>
      <c r="G1684" s="35">
        <v>11046</v>
      </c>
      <c r="H1684" s="36">
        <v>6.1699999999999998E-2</v>
      </c>
      <c r="I1684" s="37">
        <v>0.87</v>
      </c>
      <c r="J1684" s="37">
        <v>9610.02</v>
      </c>
      <c r="K1684" s="35">
        <v>787</v>
      </c>
      <c r="L1684" s="37">
        <v>12.21</v>
      </c>
      <c r="M1684" s="37">
        <v>127296.84</v>
      </c>
      <c r="N1684" s="38">
        <v>13.25</v>
      </c>
    </row>
    <row r="1685" spans="1:14" x14ac:dyDescent="0.3">
      <c r="A1685" s="33">
        <v>45475</v>
      </c>
      <c r="B1685" s="34" t="s">
        <v>60</v>
      </c>
      <c r="C1685" s="34" t="s">
        <v>75</v>
      </c>
      <c r="D1685" s="34" t="s">
        <v>65</v>
      </c>
      <c r="E1685" s="34" t="s">
        <v>72</v>
      </c>
      <c r="F1685" s="35">
        <v>87481</v>
      </c>
      <c r="G1685" s="35">
        <v>4181</v>
      </c>
      <c r="H1685" s="36">
        <v>4.7800000000000002E-2</v>
      </c>
      <c r="I1685" s="37">
        <v>2.88</v>
      </c>
      <c r="J1685" s="37">
        <v>12041.28</v>
      </c>
      <c r="K1685" s="35">
        <v>104</v>
      </c>
      <c r="L1685" s="37">
        <v>115.78</v>
      </c>
      <c r="M1685" s="37">
        <v>28643.42</v>
      </c>
      <c r="N1685" s="38">
        <v>2.38</v>
      </c>
    </row>
    <row r="1686" spans="1:14" x14ac:dyDescent="0.3">
      <c r="A1686" s="33">
        <v>45465</v>
      </c>
      <c r="B1686" s="34" t="s">
        <v>64</v>
      </c>
      <c r="C1686" s="34" t="s">
        <v>70</v>
      </c>
      <c r="D1686" s="34" t="s">
        <v>76</v>
      </c>
      <c r="E1686" s="34" t="s">
        <v>77</v>
      </c>
      <c r="F1686" s="35">
        <v>130645</v>
      </c>
      <c r="G1686" s="35">
        <v>8243</v>
      </c>
      <c r="H1686" s="36">
        <v>6.3100000000000003E-2</v>
      </c>
      <c r="I1686" s="37">
        <v>0.95</v>
      </c>
      <c r="J1686" s="37">
        <v>7830.85</v>
      </c>
      <c r="K1686" s="35">
        <v>356</v>
      </c>
      <c r="L1686" s="37">
        <v>22</v>
      </c>
      <c r="M1686" s="37">
        <v>16420.599999999999</v>
      </c>
      <c r="N1686" s="38">
        <v>2.1</v>
      </c>
    </row>
    <row r="1687" spans="1:14" x14ac:dyDescent="0.3">
      <c r="A1687" s="33">
        <v>45620</v>
      </c>
      <c r="B1687" s="34" t="s">
        <v>60</v>
      </c>
      <c r="C1687" s="34" t="s">
        <v>61</v>
      </c>
      <c r="D1687" s="34" t="s">
        <v>71</v>
      </c>
      <c r="E1687" s="34" t="s">
        <v>77</v>
      </c>
      <c r="F1687" s="35">
        <v>121089</v>
      </c>
      <c r="G1687" s="35">
        <v>3499</v>
      </c>
      <c r="H1687" s="36">
        <v>2.8899999999999999E-2</v>
      </c>
      <c r="I1687" s="37">
        <v>0.93</v>
      </c>
      <c r="J1687" s="37">
        <v>3254.07</v>
      </c>
      <c r="K1687" s="35">
        <v>185</v>
      </c>
      <c r="L1687" s="37">
        <v>17.59</v>
      </c>
      <c r="M1687" s="37">
        <v>28042.42</v>
      </c>
      <c r="N1687" s="38">
        <v>8.6199999999999992</v>
      </c>
    </row>
    <row r="1688" spans="1:14" x14ac:dyDescent="0.3">
      <c r="A1688" s="33">
        <v>45419</v>
      </c>
      <c r="B1688" s="34" t="s">
        <v>60</v>
      </c>
      <c r="C1688" s="34" t="s">
        <v>61</v>
      </c>
      <c r="D1688" s="34" t="s">
        <v>65</v>
      </c>
      <c r="E1688" s="34" t="s">
        <v>73</v>
      </c>
      <c r="F1688" s="35">
        <v>15589</v>
      </c>
      <c r="G1688" s="35">
        <v>285</v>
      </c>
      <c r="H1688" s="36">
        <v>1.83E-2</v>
      </c>
      <c r="I1688" s="37">
        <v>1.18</v>
      </c>
      <c r="J1688" s="37">
        <v>336.3</v>
      </c>
      <c r="K1688" s="35">
        <v>10</v>
      </c>
      <c r="L1688" s="37">
        <v>33.630000000000003</v>
      </c>
      <c r="M1688" s="37">
        <v>1359.76</v>
      </c>
      <c r="N1688" s="38">
        <v>4.04</v>
      </c>
    </row>
    <row r="1689" spans="1:14" x14ac:dyDescent="0.3">
      <c r="A1689" s="33">
        <v>45515</v>
      </c>
      <c r="B1689" s="34" t="s">
        <v>64</v>
      </c>
      <c r="C1689" s="34" t="s">
        <v>61</v>
      </c>
      <c r="D1689" s="34" t="s">
        <v>62</v>
      </c>
      <c r="E1689" s="34" t="s">
        <v>72</v>
      </c>
      <c r="F1689" s="35">
        <v>101411</v>
      </c>
      <c r="G1689" s="35">
        <v>9370</v>
      </c>
      <c r="H1689" s="36">
        <v>9.2399999999999996E-2</v>
      </c>
      <c r="I1689" s="37">
        <v>0.81</v>
      </c>
      <c r="J1689" s="37">
        <v>7589.7</v>
      </c>
      <c r="K1689" s="35">
        <v>523</v>
      </c>
      <c r="L1689" s="37">
        <v>14.51</v>
      </c>
      <c r="M1689" s="37">
        <v>26633.21</v>
      </c>
      <c r="N1689" s="38">
        <v>3.51</v>
      </c>
    </row>
    <row r="1690" spans="1:14" x14ac:dyDescent="0.3">
      <c r="A1690" s="33">
        <v>45376</v>
      </c>
      <c r="B1690" s="34" t="s">
        <v>60</v>
      </c>
      <c r="C1690" s="34" t="s">
        <v>70</v>
      </c>
      <c r="D1690" s="34" t="s">
        <v>76</v>
      </c>
      <c r="E1690" s="34" t="s">
        <v>66</v>
      </c>
      <c r="F1690" s="35">
        <v>142045</v>
      </c>
      <c r="G1690" s="35">
        <v>9161</v>
      </c>
      <c r="H1690" s="36">
        <v>6.4500000000000002E-2</v>
      </c>
      <c r="I1690" s="37">
        <v>2.39</v>
      </c>
      <c r="J1690" s="37">
        <v>21894.79</v>
      </c>
      <c r="K1690" s="35">
        <v>525</v>
      </c>
      <c r="L1690" s="37">
        <v>41.7</v>
      </c>
      <c r="M1690" s="37">
        <v>131680.16</v>
      </c>
      <c r="N1690" s="38">
        <v>6.01</v>
      </c>
    </row>
    <row r="1691" spans="1:14" x14ac:dyDescent="0.3">
      <c r="A1691" s="33">
        <v>45478</v>
      </c>
      <c r="B1691" s="34" t="s">
        <v>74</v>
      </c>
      <c r="C1691" s="34" t="s">
        <v>70</v>
      </c>
      <c r="D1691" s="34" t="s">
        <v>68</v>
      </c>
      <c r="E1691" s="34" t="s">
        <v>66</v>
      </c>
      <c r="F1691" s="35">
        <v>42236</v>
      </c>
      <c r="G1691" s="35">
        <v>1013</v>
      </c>
      <c r="H1691" s="36">
        <v>2.4E-2</v>
      </c>
      <c r="I1691" s="37">
        <v>1.43</v>
      </c>
      <c r="J1691" s="37">
        <v>1448.59</v>
      </c>
      <c r="K1691" s="35">
        <v>29</v>
      </c>
      <c r="L1691" s="37">
        <v>49.95</v>
      </c>
      <c r="M1691" s="37">
        <v>4720.08</v>
      </c>
      <c r="N1691" s="38">
        <v>3.26</v>
      </c>
    </row>
    <row r="1692" spans="1:14" x14ac:dyDescent="0.3">
      <c r="A1692" s="33">
        <v>45435</v>
      </c>
      <c r="B1692" s="34" t="s">
        <v>74</v>
      </c>
      <c r="C1692" s="34" t="s">
        <v>70</v>
      </c>
      <c r="D1692" s="34" t="s">
        <v>76</v>
      </c>
      <c r="E1692" s="34" t="s">
        <v>73</v>
      </c>
      <c r="F1692" s="35">
        <v>75628</v>
      </c>
      <c r="G1692" s="35">
        <v>794</v>
      </c>
      <c r="H1692" s="36">
        <v>1.0500000000000001E-2</v>
      </c>
      <c r="I1692" s="37">
        <v>0.5</v>
      </c>
      <c r="J1692" s="37">
        <v>397</v>
      </c>
      <c r="K1692" s="35">
        <v>49</v>
      </c>
      <c r="L1692" s="37">
        <v>8.1</v>
      </c>
      <c r="M1692" s="37">
        <v>3639.22</v>
      </c>
      <c r="N1692" s="38">
        <v>9.17</v>
      </c>
    </row>
    <row r="1693" spans="1:14" x14ac:dyDescent="0.3">
      <c r="A1693" s="33">
        <v>45634</v>
      </c>
      <c r="B1693" s="34" t="s">
        <v>64</v>
      </c>
      <c r="C1693" s="34" t="s">
        <v>67</v>
      </c>
      <c r="D1693" s="34" t="s">
        <v>62</v>
      </c>
      <c r="E1693" s="34" t="s">
        <v>72</v>
      </c>
      <c r="F1693" s="35">
        <v>116184</v>
      </c>
      <c r="G1693" s="35">
        <v>4089</v>
      </c>
      <c r="H1693" s="36">
        <v>3.5200000000000002E-2</v>
      </c>
      <c r="I1693" s="37">
        <v>0.34</v>
      </c>
      <c r="J1693" s="37">
        <v>1390.26</v>
      </c>
      <c r="K1693" s="35">
        <v>263</v>
      </c>
      <c r="L1693" s="37">
        <v>5.29</v>
      </c>
      <c r="M1693" s="37">
        <v>54249.41</v>
      </c>
      <c r="N1693" s="38">
        <v>39.020000000000003</v>
      </c>
    </row>
    <row r="1694" spans="1:14" x14ac:dyDescent="0.3">
      <c r="A1694" s="33">
        <v>45584</v>
      </c>
      <c r="B1694" s="34" t="s">
        <v>60</v>
      </c>
      <c r="C1694" s="34" t="s">
        <v>67</v>
      </c>
      <c r="D1694" s="34" t="s">
        <v>76</v>
      </c>
      <c r="E1694" s="34" t="s">
        <v>69</v>
      </c>
      <c r="F1694" s="35">
        <v>121465</v>
      </c>
      <c r="G1694" s="35">
        <v>5575</v>
      </c>
      <c r="H1694" s="36">
        <v>4.5900000000000003E-2</v>
      </c>
      <c r="I1694" s="37">
        <v>1.64</v>
      </c>
      <c r="J1694" s="37">
        <v>9143</v>
      </c>
      <c r="K1694" s="35">
        <v>273</v>
      </c>
      <c r="L1694" s="37">
        <v>33.49</v>
      </c>
      <c r="M1694" s="37">
        <v>28769.59</v>
      </c>
      <c r="N1694" s="38">
        <v>3.15</v>
      </c>
    </row>
    <row r="1695" spans="1:14" x14ac:dyDescent="0.3">
      <c r="A1695" s="33">
        <v>45300</v>
      </c>
      <c r="B1695" s="34" t="s">
        <v>60</v>
      </c>
      <c r="C1695" s="34" t="s">
        <v>67</v>
      </c>
      <c r="D1695" s="34" t="s">
        <v>62</v>
      </c>
      <c r="E1695" s="34" t="s">
        <v>66</v>
      </c>
      <c r="F1695" s="35">
        <v>108510</v>
      </c>
      <c r="G1695" s="35">
        <v>3721</v>
      </c>
      <c r="H1695" s="36">
        <v>3.4299999999999997E-2</v>
      </c>
      <c r="I1695" s="37">
        <v>1.41</v>
      </c>
      <c r="J1695" s="37">
        <v>5246.61</v>
      </c>
      <c r="K1695" s="35">
        <v>116</v>
      </c>
      <c r="L1695" s="37">
        <v>45.23</v>
      </c>
      <c r="M1695" s="37">
        <v>23480.01</v>
      </c>
      <c r="N1695" s="38">
        <v>4.4800000000000004</v>
      </c>
    </row>
    <row r="1696" spans="1:14" x14ac:dyDescent="0.3">
      <c r="A1696" s="33">
        <v>45363</v>
      </c>
      <c r="B1696" s="34" t="s">
        <v>74</v>
      </c>
      <c r="C1696" s="34" t="s">
        <v>70</v>
      </c>
      <c r="D1696" s="34" t="s">
        <v>68</v>
      </c>
      <c r="E1696" s="34" t="s">
        <v>73</v>
      </c>
      <c r="F1696" s="35">
        <v>199650</v>
      </c>
      <c r="G1696" s="35">
        <v>4152</v>
      </c>
      <c r="H1696" s="36">
        <v>2.0799999999999999E-2</v>
      </c>
      <c r="I1696" s="37">
        <v>0.78</v>
      </c>
      <c r="J1696" s="37">
        <v>3238.56</v>
      </c>
      <c r="K1696" s="35">
        <v>165</v>
      </c>
      <c r="L1696" s="37">
        <v>19.63</v>
      </c>
      <c r="M1696" s="37">
        <v>10558.75</v>
      </c>
      <c r="N1696" s="38">
        <v>3.26</v>
      </c>
    </row>
    <row r="1697" spans="1:14" x14ac:dyDescent="0.3">
      <c r="A1697" s="33">
        <v>45483</v>
      </c>
      <c r="B1697" s="34" t="s">
        <v>60</v>
      </c>
      <c r="C1697" s="34" t="s">
        <v>70</v>
      </c>
      <c r="D1697" s="34" t="s">
        <v>71</v>
      </c>
      <c r="E1697" s="34" t="s">
        <v>69</v>
      </c>
      <c r="F1697" s="35">
        <v>73734</v>
      </c>
      <c r="G1697" s="35">
        <v>1990</v>
      </c>
      <c r="H1697" s="36">
        <v>2.7E-2</v>
      </c>
      <c r="I1697" s="37">
        <v>0.82</v>
      </c>
      <c r="J1697" s="37">
        <v>1631.8</v>
      </c>
      <c r="K1697" s="35">
        <v>143</v>
      </c>
      <c r="L1697" s="37">
        <v>11.41</v>
      </c>
      <c r="M1697" s="37">
        <v>16954.02</v>
      </c>
      <c r="N1697" s="38">
        <v>10.39</v>
      </c>
    </row>
    <row r="1698" spans="1:14" x14ac:dyDescent="0.3">
      <c r="A1698" s="33">
        <v>45361</v>
      </c>
      <c r="B1698" s="34" t="s">
        <v>74</v>
      </c>
      <c r="C1698" s="34" t="s">
        <v>70</v>
      </c>
      <c r="D1698" s="34" t="s">
        <v>76</v>
      </c>
      <c r="E1698" s="34" t="s">
        <v>73</v>
      </c>
      <c r="F1698" s="35">
        <v>149532</v>
      </c>
      <c r="G1698" s="35">
        <v>5069</v>
      </c>
      <c r="H1698" s="36">
        <v>3.39E-2</v>
      </c>
      <c r="I1698" s="37">
        <v>2.39</v>
      </c>
      <c r="J1698" s="37">
        <v>12114.91</v>
      </c>
      <c r="K1698" s="35">
        <v>397</v>
      </c>
      <c r="L1698" s="37">
        <v>30.52</v>
      </c>
      <c r="M1698" s="37">
        <v>95392.09</v>
      </c>
      <c r="N1698" s="38">
        <v>7.87</v>
      </c>
    </row>
    <row r="1699" spans="1:14" x14ac:dyDescent="0.3">
      <c r="A1699" s="33">
        <v>45318</v>
      </c>
      <c r="B1699" s="34" t="s">
        <v>60</v>
      </c>
      <c r="C1699" s="34" t="s">
        <v>61</v>
      </c>
      <c r="D1699" s="34" t="s">
        <v>62</v>
      </c>
      <c r="E1699" s="34" t="s">
        <v>77</v>
      </c>
      <c r="F1699" s="35">
        <v>79432</v>
      </c>
      <c r="G1699" s="35">
        <v>4130</v>
      </c>
      <c r="H1699" s="36">
        <v>5.1999999999999998E-2</v>
      </c>
      <c r="I1699" s="37">
        <v>2.29</v>
      </c>
      <c r="J1699" s="37">
        <v>9457.7000000000007</v>
      </c>
      <c r="K1699" s="35">
        <v>311</v>
      </c>
      <c r="L1699" s="37">
        <v>30.41</v>
      </c>
      <c r="M1699" s="37">
        <v>59366.41</v>
      </c>
      <c r="N1699" s="38">
        <v>6.28</v>
      </c>
    </row>
    <row r="1700" spans="1:14" x14ac:dyDescent="0.3">
      <c r="A1700" s="33">
        <v>45572</v>
      </c>
      <c r="B1700" s="34" t="s">
        <v>64</v>
      </c>
      <c r="C1700" s="34" t="s">
        <v>75</v>
      </c>
      <c r="D1700" s="34" t="s">
        <v>62</v>
      </c>
      <c r="E1700" s="34" t="s">
        <v>73</v>
      </c>
      <c r="F1700" s="35">
        <v>192583</v>
      </c>
      <c r="G1700" s="35">
        <v>11285</v>
      </c>
      <c r="H1700" s="36">
        <v>5.8599999999999999E-2</v>
      </c>
      <c r="I1700" s="37">
        <v>1.63</v>
      </c>
      <c r="J1700" s="37">
        <v>18394.55</v>
      </c>
      <c r="K1700" s="35">
        <v>562</v>
      </c>
      <c r="L1700" s="37">
        <v>32.729999999999997</v>
      </c>
      <c r="M1700" s="37">
        <v>124224.31</v>
      </c>
      <c r="N1700" s="38">
        <v>6.75</v>
      </c>
    </row>
    <row r="1701" spans="1:14" x14ac:dyDescent="0.3">
      <c r="A1701" s="33">
        <v>45360</v>
      </c>
      <c r="B1701" s="34" t="s">
        <v>74</v>
      </c>
      <c r="C1701" s="34" t="s">
        <v>67</v>
      </c>
      <c r="D1701" s="34" t="s">
        <v>71</v>
      </c>
      <c r="E1701" s="34" t="s">
        <v>78</v>
      </c>
      <c r="F1701" s="35">
        <v>79266</v>
      </c>
      <c r="G1701" s="35">
        <v>2425</v>
      </c>
      <c r="H1701" s="36">
        <v>3.0599999999999999E-2</v>
      </c>
      <c r="I1701" s="37">
        <v>0.72</v>
      </c>
      <c r="J1701" s="37">
        <v>1746</v>
      </c>
      <c r="K1701" s="35">
        <v>104</v>
      </c>
      <c r="L1701" s="37">
        <v>16.79</v>
      </c>
      <c r="M1701" s="37">
        <v>20287.27</v>
      </c>
      <c r="N1701" s="38">
        <v>11.62</v>
      </c>
    </row>
    <row r="1702" spans="1:14" x14ac:dyDescent="0.3">
      <c r="A1702" s="33">
        <v>45347</v>
      </c>
      <c r="B1702" s="34" t="s">
        <v>60</v>
      </c>
      <c r="C1702" s="34" t="s">
        <v>67</v>
      </c>
      <c r="D1702" s="34" t="s">
        <v>62</v>
      </c>
      <c r="E1702" s="34" t="s">
        <v>78</v>
      </c>
      <c r="F1702" s="35">
        <v>33695</v>
      </c>
      <c r="G1702" s="35">
        <v>1277</v>
      </c>
      <c r="H1702" s="36">
        <v>3.7900000000000003E-2</v>
      </c>
      <c r="I1702" s="37">
        <v>2.88</v>
      </c>
      <c r="J1702" s="37">
        <v>3677.76</v>
      </c>
      <c r="K1702" s="35">
        <v>89</v>
      </c>
      <c r="L1702" s="37">
        <v>41.32</v>
      </c>
      <c r="M1702" s="37">
        <v>25041.09</v>
      </c>
      <c r="N1702" s="38">
        <v>6.81</v>
      </c>
    </row>
    <row r="1703" spans="1:14" x14ac:dyDescent="0.3">
      <c r="A1703" s="33">
        <v>45370</v>
      </c>
      <c r="B1703" s="34" t="s">
        <v>64</v>
      </c>
      <c r="C1703" s="34" t="s">
        <v>61</v>
      </c>
      <c r="D1703" s="34" t="s">
        <v>62</v>
      </c>
      <c r="E1703" s="34" t="s">
        <v>77</v>
      </c>
      <c r="F1703" s="35">
        <v>92030</v>
      </c>
      <c r="G1703" s="35">
        <v>6267</v>
      </c>
      <c r="H1703" s="36">
        <v>6.8099999999999994E-2</v>
      </c>
      <c r="I1703" s="37">
        <v>0.57999999999999996</v>
      </c>
      <c r="J1703" s="37">
        <v>3634.86</v>
      </c>
      <c r="K1703" s="35">
        <v>136</v>
      </c>
      <c r="L1703" s="37">
        <v>26.73</v>
      </c>
      <c r="M1703" s="37">
        <v>11204.78</v>
      </c>
      <c r="N1703" s="38">
        <v>3.08</v>
      </c>
    </row>
    <row r="1704" spans="1:14" x14ac:dyDescent="0.3">
      <c r="A1704" s="33">
        <v>45598</v>
      </c>
      <c r="B1704" s="34" t="s">
        <v>60</v>
      </c>
      <c r="C1704" s="34" t="s">
        <v>61</v>
      </c>
      <c r="D1704" s="34" t="s">
        <v>68</v>
      </c>
      <c r="E1704" s="34" t="s">
        <v>77</v>
      </c>
      <c r="F1704" s="35">
        <v>26259</v>
      </c>
      <c r="G1704" s="35">
        <v>669</v>
      </c>
      <c r="H1704" s="36">
        <v>2.5499999999999998E-2</v>
      </c>
      <c r="I1704" s="37">
        <v>1.41</v>
      </c>
      <c r="J1704" s="37">
        <v>943.29</v>
      </c>
      <c r="K1704" s="35">
        <v>22</v>
      </c>
      <c r="L1704" s="37">
        <v>42.88</v>
      </c>
      <c r="M1704" s="37">
        <v>2731.41</v>
      </c>
      <c r="N1704" s="38">
        <v>2.9</v>
      </c>
    </row>
    <row r="1705" spans="1:14" x14ac:dyDescent="0.3">
      <c r="A1705" s="33">
        <v>45397</v>
      </c>
      <c r="B1705" s="34" t="s">
        <v>60</v>
      </c>
      <c r="C1705" s="34" t="s">
        <v>67</v>
      </c>
      <c r="D1705" s="34" t="s">
        <v>62</v>
      </c>
      <c r="E1705" s="34" t="s">
        <v>66</v>
      </c>
      <c r="F1705" s="35">
        <v>99447</v>
      </c>
      <c r="G1705" s="35">
        <v>5917</v>
      </c>
      <c r="H1705" s="36">
        <v>5.9499999999999997E-2</v>
      </c>
      <c r="I1705" s="37">
        <v>1.05</v>
      </c>
      <c r="J1705" s="37">
        <v>6212.85</v>
      </c>
      <c r="K1705" s="35">
        <v>195</v>
      </c>
      <c r="L1705" s="37">
        <v>31.86</v>
      </c>
      <c r="M1705" s="37">
        <v>28481.71</v>
      </c>
      <c r="N1705" s="38">
        <v>4.58</v>
      </c>
    </row>
    <row r="1706" spans="1:14" x14ac:dyDescent="0.3">
      <c r="A1706" s="33">
        <v>45613</v>
      </c>
      <c r="B1706" s="34" t="s">
        <v>74</v>
      </c>
      <c r="C1706" s="34" t="s">
        <v>70</v>
      </c>
      <c r="D1706" s="34" t="s">
        <v>68</v>
      </c>
      <c r="E1706" s="34" t="s">
        <v>63</v>
      </c>
      <c r="F1706" s="35">
        <v>170910</v>
      </c>
      <c r="G1706" s="35">
        <v>3315</v>
      </c>
      <c r="H1706" s="36">
        <v>1.9400000000000001E-2</v>
      </c>
      <c r="I1706" s="37">
        <v>0.5</v>
      </c>
      <c r="J1706" s="37">
        <v>1657.5</v>
      </c>
      <c r="K1706" s="35">
        <v>167</v>
      </c>
      <c r="L1706" s="37">
        <v>9.93</v>
      </c>
      <c r="M1706" s="37">
        <v>41334.160000000003</v>
      </c>
      <c r="N1706" s="38">
        <v>24.94</v>
      </c>
    </row>
    <row r="1707" spans="1:14" x14ac:dyDescent="0.3">
      <c r="A1707" s="33">
        <v>45355</v>
      </c>
      <c r="B1707" s="34" t="s">
        <v>74</v>
      </c>
      <c r="C1707" s="34" t="s">
        <v>67</v>
      </c>
      <c r="D1707" s="34" t="s">
        <v>68</v>
      </c>
      <c r="E1707" s="34" t="s">
        <v>69</v>
      </c>
      <c r="F1707" s="35">
        <v>180259</v>
      </c>
      <c r="G1707" s="35">
        <v>2072</v>
      </c>
      <c r="H1707" s="36">
        <v>1.15E-2</v>
      </c>
      <c r="I1707" s="37">
        <v>1.37</v>
      </c>
      <c r="J1707" s="37">
        <v>2838.64</v>
      </c>
      <c r="K1707" s="35">
        <v>136</v>
      </c>
      <c r="L1707" s="37">
        <v>20.87</v>
      </c>
      <c r="M1707" s="37">
        <v>10032.66</v>
      </c>
      <c r="N1707" s="38">
        <v>3.53</v>
      </c>
    </row>
    <row r="1708" spans="1:14" x14ac:dyDescent="0.3">
      <c r="A1708" s="33">
        <v>45345</v>
      </c>
      <c r="B1708" s="34" t="s">
        <v>74</v>
      </c>
      <c r="C1708" s="34" t="s">
        <v>67</v>
      </c>
      <c r="D1708" s="34" t="s">
        <v>68</v>
      </c>
      <c r="E1708" s="34" t="s">
        <v>63</v>
      </c>
      <c r="F1708" s="35">
        <v>146964</v>
      </c>
      <c r="G1708" s="35">
        <v>5246</v>
      </c>
      <c r="H1708" s="36">
        <v>3.5700000000000003E-2</v>
      </c>
      <c r="I1708" s="37">
        <v>1.99</v>
      </c>
      <c r="J1708" s="37">
        <v>10439.540000000001</v>
      </c>
      <c r="K1708" s="35">
        <v>131</v>
      </c>
      <c r="L1708" s="37">
        <v>79.69</v>
      </c>
      <c r="M1708" s="37">
        <v>7261.59</v>
      </c>
      <c r="N1708" s="38">
        <v>0.7</v>
      </c>
    </row>
    <row r="1709" spans="1:14" x14ac:dyDescent="0.3">
      <c r="A1709" s="33">
        <v>45545</v>
      </c>
      <c r="B1709" s="34" t="s">
        <v>74</v>
      </c>
      <c r="C1709" s="34" t="s">
        <v>75</v>
      </c>
      <c r="D1709" s="34" t="s">
        <v>65</v>
      </c>
      <c r="E1709" s="34" t="s">
        <v>72</v>
      </c>
      <c r="F1709" s="35">
        <v>153057</v>
      </c>
      <c r="G1709" s="35">
        <v>2969</v>
      </c>
      <c r="H1709" s="36">
        <v>1.9400000000000001E-2</v>
      </c>
      <c r="I1709" s="37">
        <v>2.2400000000000002</v>
      </c>
      <c r="J1709" s="37">
        <v>6650.56</v>
      </c>
      <c r="K1709" s="35">
        <v>148</v>
      </c>
      <c r="L1709" s="37">
        <v>44.94</v>
      </c>
      <c r="M1709" s="37">
        <v>28216.02</v>
      </c>
      <c r="N1709" s="38">
        <v>4.24</v>
      </c>
    </row>
    <row r="1710" spans="1:14" x14ac:dyDescent="0.3">
      <c r="A1710" s="33">
        <v>45634</v>
      </c>
      <c r="B1710" s="34" t="s">
        <v>60</v>
      </c>
      <c r="C1710" s="34" t="s">
        <v>61</v>
      </c>
      <c r="D1710" s="34" t="s">
        <v>71</v>
      </c>
      <c r="E1710" s="34" t="s">
        <v>66</v>
      </c>
      <c r="F1710" s="35">
        <v>78635</v>
      </c>
      <c r="G1710" s="35">
        <v>2587</v>
      </c>
      <c r="H1710" s="36">
        <v>3.2899999999999999E-2</v>
      </c>
      <c r="I1710" s="37">
        <v>2.35</v>
      </c>
      <c r="J1710" s="37">
        <v>6079.45</v>
      </c>
      <c r="K1710" s="35">
        <v>106</v>
      </c>
      <c r="L1710" s="37">
        <v>57.35</v>
      </c>
      <c r="M1710" s="37">
        <v>21303.72</v>
      </c>
      <c r="N1710" s="38">
        <v>3.5</v>
      </c>
    </row>
    <row r="1711" spans="1:14" x14ac:dyDescent="0.3">
      <c r="A1711" s="33">
        <v>45608</v>
      </c>
      <c r="B1711" s="34" t="s">
        <v>74</v>
      </c>
      <c r="C1711" s="34" t="s">
        <v>75</v>
      </c>
      <c r="D1711" s="34" t="s">
        <v>68</v>
      </c>
      <c r="E1711" s="34" t="s">
        <v>63</v>
      </c>
      <c r="F1711" s="35">
        <v>54031</v>
      </c>
      <c r="G1711" s="35">
        <v>2215</v>
      </c>
      <c r="H1711" s="36">
        <v>4.1000000000000002E-2</v>
      </c>
      <c r="I1711" s="37">
        <v>1.66</v>
      </c>
      <c r="J1711" s="37">
        <v>3676.9</v>
      </c>
      <c r="K1711" s="35">
        <v>157</v>
      </c>
      <c r="L1711" s="37">
        <v>23.42</v>
      </c>
      <c r="M1711" s="37">
        <v>22778.62</v>
      </c>
      <c r="N1711" s="38">
        <v>6.2</v>
      </c>
    </row>
    <row r="1712" spans="1:14" x14ac:dyDescent="0.3">
      <c r="A1712" s="33">
        <v>45552</v>
      </c>
      <c r="B1712" s="34" t="s">
        <v>60</v>
      </c>
      <c r="C1712" s="34" t="s">
        <v>67</v>
      </c>
      <c r="D1712" s="34" t="s">
        <v>71</v>
      </c>
      <c r="E1712" s="34" t="s">
        <v>72</v>
      </c>
      <c r="F1712" s="35">
        <v>162743</v>
      </c>
      <c r="G1712" s="35">
        <v>8723</v>
      </c>
      <c r="H1712" s="36">
        <v>5.3600000000000002E-2</v>
      </c>
      <c r="I1712" s="37">
        <v>1.77</v>
      </c>
      <c r="J1712" s="37">
        <v>15439.71</v>
      </c>
      <c r="K1712" s="35">
        <v>106</v>
      </c>
      <c r="L1712" s="37">
        <v>145.66</v>
      </c>
      <c r="M1712" s="37">
        <v>20056.78</v>
      </c>
      <c r="N1712" s="38">
        <v>1.3</v>
      </c>
    </row>
    <row r="1713" spans="1:14" x14ac:dyDescent="0.3">
      <c r="A1713" s="33">
        <v>45508</v>
      </c>
      <c r="B1713" s="34" t="s">
        <v>60</v>
      </c>
      <c r="C1713" s="34" t="s">
        <v>75</v>
      </c>
      <c r="D1713" s="34" t="s">
        <v>68</v>
      </c>
      <c r="E1713" s="34" t="s">
        <v>73</v>
      </c>
      <c r="F1713" s="35">
        <v>144494</v>
      </c>
      <c r="G1713" s="35">
        <v>8409</v>
      </c>
      <c r="H1713" s="36">
        <v>5.8200000000000002E-2</v>
      </c>
      <c r="I1713" s="37">
        <v>3.04</v>
      </c>
      <c r="J1713" s="37">
        <v>25563.360000000001</v>
      </c>
      <c r="K1713" s="35">
        <v>93</v>
      </c>
      <c r="L1713" s="37">
        <v>274.87</v>
      </c>
      <c r="M1713" s="37">
        <v>20233.22</v>
      </c>
      <c r="N1713" s="38">
        <v>0.79</v>
      </c>
    </row>
    <row r="1714" spans="1:14" x14ac:dyDescent="0.3">
      <c r="A1714" s="33">
        <v>45605</v>
      </c>
      <c r="B1714" s="34" t="s">
        <v>60</v>
      </c>
      <c r="C1714" s="34" t="s">
        <v>61</v>
      </c>
      <c r="D1714" s="34" t="s">
        <v>62</v>
      </c>
      <c r="E1714" s="34" t="s">
        <v>78</v>
      </c>
      <c r="F1714" s="35">
        <v>112549</v>
      </c>
      <c r="G1714" s="35">
        <v>6640</v>
      </c>
      <c r="H1714" s="36">
        <v>5.8999999999999997E-2</v>
      </c>
      <c r="I1714" s="37">
        <v>3.67</v>
      </c>
      <c r="J1714" s="37">
        <v>24368.799999999999</v>
      </c>
      <c r="K1714" s="35">
        <v>374</v>
      </c>
      <c r="L1714" s="37">
        <v>65.16</v>
      </c>
      <c r="M1714" s="37">
        <v>21696.69</v>
      </c>
      <c r="N1714" s="38">
        <v>0.89</v>
      </c>
    </row>
    <row r="1715" spans="1:14" x14ac:dyDescent="0.3">
      <c r="A1715" s="33">
        <v>45649</v>
      </c>
      <c r="B1715" s="34" t="s">
        <v>60</v>
      </c>
      <c r="C1715" s="34" t="s">
        <v>61</v>
      </c>
      <c r="D1715" s="34" t="s">
        <v>76</v>
      </c>
      <c r="E1715" s="34" t="s">
        <v>69</v>
      </c>
      <c r="F1715" s="35">
        <v>148994</v>
      </c>
      <c r="G1715" s="35">
        <v>7509</v>
      </c>
      <c r="H1715" s="36">
        <v>5.04E-2</v>
      </c>
      <c r="I1715" s="37">
        <v>3.46</v>
      </c>
      <c r="J1715" s="37">
        <v>25981.14</v>
      </c>
      <c r="K1715" s="35">
        <v>588</v>
      </c>
      <c r="L1715" s="37">
        <v>44.19</v>
      </c>
      <c r="M1715" s="37">
        <v>82753.509999999995</v>
      </c>
      <c r="N1715" s="38">
        <v>3.19</v>
      </c>
    </row>
    <row r="1716" spans="1:14" x14ac:dyDescent="0.3">
      <c r="A1716" s="33">
        <v>45620</v>
      </c>
      <c r="B1716" s="34" t="s">
        <v>60</v>
      </c>
      <c r="C1716" s="34" t="s">
        <v>75</v>
      </c>
      <c r="D1716" s="34" t="s">
        <v>62</v>
      </c>
      <c r="E1716" s="34" t="s">
        <v>73</v>
      </c>
      <c r="F1716" s="35">
        <v>87373</v>
      </c>
      <c r="G1716" s="35">
        <v>3643</v>
      </c>
      <c r="H1716" s="36">
        <v>4.1700000000000001E-2</v>
      </c>
      <c r="I1716" s="37">
        <v>1.05</v>
      </c>
      <c r="J1716" s="37">
        <v>3825.15</v>
      </c>
      <c r="K1716" s="35">
        <v>289</v>
      </c>
      <c r="L1716" s="37">
        <v>13.24</v>
      </c>
      <c r="M1716" s="37">
        <v>35842.03</v>
      </c>
      <c r="N1716" s="38">
        <v>9.3699999999999992</v>
      </c>
    </row>
    <row r="1717" spans="1:14" x14ac:dyDescent="0.3">
      <c r="A1717" s="33">
        <v>45383</v>
      </c>
      <c r="B1717" s="34" t="s">
        <v>64</v>
      </c>
      <c r="C1717" s="34" t="s">
        <v>70</v>
      </c>
      <c r="D1717" s="34" t="s">
        <v>76</v>
      </c>
      <c r="E1717" s="34" t="s">
        <v>78</v>
      </c>
      <c r="F1717" s="35">
        <v>41200</v>
      </c>
      <c r="G1717" s="35">
        <v>1763</v>
      </c>
      <c r="H1717" s="36">
        <v>4.2799999999999998E-2</v>
      </c>
      <c r="I1717" s="37">
        <v>1.78</v>
      </c>
      <c r="J1717" s="37">
        <v>3138.14</v>
      </c>
      <c r="K1717" s="35">
        <v>101</v>
      </c>
      <c r="L1717" s="37">
        <v>31.07</v>
      </c>
      <c r="M1717" s="37">
        <v>27614.2</v>
      </c>
      <c r="N1717" s="38">
        <v>8.8000000000000007</v>
      </c>
    </row>
    <row r="1718" spans="1:14" x14ac:dyDescent="0.3">
      <c r="A1718" s="33">
        <v>45649</v>
      </c>
      <c r="B1718" s="34" t="s">
        <v>60</v>
      </c>
      <c r="C1718" s="34" t="s">
        <v>61</v>
      </c>
      <c r="D1718" s="34" t="s">
        <v>62</v>
      </c>
      <c r="E1718" s="34" t="s">
        <v>77</v>
      </c>
      <c r="F1718" s="35">
        <v>51986</v>
      </c>
      <c r="G1718" s="35">
        <v>1996</v>
      </c>
      <c r="H1718" s="36">
        <v>3.8399999999999997E-2</v>
      </c>
      <c r="I1718" s="37">
        <v>1.53</v>
      </c>
      <c r="J1718" s="37">
        <v>3053.88</v>
      </c>
      <c r="K1718" s="35">
        <v>82</v>
      </c>
      <c r="L1718" s="37">
        <v>37.24</v>
      </c>
      <c r="M1718" s="37">
        <v>20819.66</v>
      </c>
      <c r="N1718" s="38">
        <v>6.82</v>
      </c>
    </row>
    <row r="1719" spans="1:14" x14ac:dyDescent="0.3">
      <c r="A1719" s="33">
        <v>45580</v>
      </c>
      <c r="B1719" s="34" t="s">
        <v>74</v>
      </c>
      <c r="C1719" s="34" t="s">
        <v>61</v>
      </c>
      <c r="D1719" s="34" t="s">
        <v>62</v>
      </c>
      <c r="E1719" s="34" t="s">
        <v>72</v>
      </c>
      <c r="F1719" s="35">
        <v>190392</v>
      </c>
      <c r="G1719" s="35">
        <v>6016</v>
      </c>
      <c r="H1719" s="36">
        <v>3.1600000000000003E-2</v>
      </c>
      <c r="I1719" s="37">
        <v>2.29</v>
      </c>
      <c r="J1719" s="37">
        <v>13776.64</v>
      </c>
      <c r="K1719" s="35">
        <v>165</v>
      </c>
      <c r="L1719" s="37">
        <v>83.49</v>
      </c>
      <c r="M1719" s="37">
        <v>35908.75</v>
      </c>
      <c r="N1719" s="38">
        <v>2.61</v>
      </c>
    </row>
    <row r="1720" spans="1:14" x14ac:dyDescent="0.3">
      <c r="A1720" s="33">
        <v>45632</v>
      </c>
      <c r="B1720" s="34" t="s">
        <v>64</v>
      </c>
      <c r="C1720" s="34" t="s">
        <v>70</v>
      </c>
      <c r="D1720" s="34" t="s">
        <v>76</v>
      </c>
      <c r="E1720" s="34" t="s">
        <v>72</v>
      </c>
      <c r="F1720" s="35">
        <v>137817</v>
      </c>
      <c r="G1720" s="35">
        <v>8654</v>
      </c>
      <c r="H1720" s="36">
        <v>6.2799999999999995E-2</v>
      </c>
      <c r="I1720" s="37">
        <v>1.52</v>
      </c>
      <c r="J1720" s="37">
        <v>13154.08</v>
      </c>
      <c r="K1720" s="35">
        <v>392</v>
      </c>
      <c r="L1720" s="37">
        <v>33.56</v>
      </c>
      <c r="M1720" s="37">
        <v>54000.95</v>
      </c>
      <c r="N1720" s="38">
        <v>4.1100000000000003</v>
      </c>
    </row>
    <row r="1721" spans="1:14" x14ac:dyDescent="0.3">
      <c r="A1721" s="33">
        <v>45311</v>
      </c>
      <c r="B1721" s="34" t="s">
        <v>64</v>
      </c>
      <c r="C1721" s="34" t="s">
        <v>67</v>
      </c>
      <c r="D1721" s="34" t="s">
        <v>62</v>
      </c>
      <c r="E1721" s="34" t="s">
        <v>69</v>
      </c>
      <c r="F1721" s="35">
        <v>153145</v>
      </c>
      <c r="G1721" s="35">
        <v>7197</v>
      </c>
      <c r="H1721" s="36">
        <v>4.7E-2</v>
      </c>
      <c r="I1721" s="37">
        <v>1.02</v>
      </c>
      <c r="J1721" s="37">
        <v>7340.94</v>
      </c>
      <c r="K1721" s="35">
        <v>89</v>
      </c>
      <c r="L1721" s="37">
        <v>82.48</v>
      </c>
      <c r="M1721" s="37">
        <v>6214.05</v>
      </c>
      <c r="N1721" s="38">
        <v>0.85</v>
      </c>
    </row>
    <row r="1722" spans="1:14" x14ac:dyDescent="0.3">
      <c r="A1722" s="33">
        <v>45358</v>
      </c>
      <c r="B1722" s="34" t="s">
        <v>60</v>
      </c>
      <c r="C1722" s="34" t="s">
        <v>70</v>
      </c>
      <c r="D1722" s="34" t="s">
        <v>76</v>
      </c>
      <c r="E1722" s="34" t="s">
        <v>69</v>
      </c>
      <c r="F1722" s="35">
        <v>20718</v>
      </c>
      <c r="G1722" s="35">
        <v>426</v>
      </c>
      <c r="H1722" s="36">
        <v>2.06E-2</v>
      </c>
      <c r="I1722" s="37">
        <v>2.65</v>
      </c>
      <c r="J1722" s="37">
        <v>1128.9000000000001</v>
      </c>
      <c r="K1722" s="35">
        <v>22</v>
      </c>
      <c r="L1722" s="37">
        <v>51.31</v>
      </c>
      <c r="M1722" s="37">
        <v>1505.14</v>
      </c>
      <c r="N1722" s="38">
        <v>1.33</v>
      </c>
    </row>
    <row r="1723" spans="1:14" x14ac:dyDescent="0.3">
      <c r="A1723" s="33">
        <v>45313</v>
      </c>
      <c r="B1723" s="34" t="s">
        <v>64</v>
      </c>
      <c r="C1723" s="34" t="s">
        <v>70</v>
      </c>
      <c r="D1723" s="34" t="s">
        <v>62</v>
      </c>
      <c r="E1723" s="34" t="s">
        <v>72</v>
      </c>
      <c r="F1723" s="35">
        <v>5059</v>
      </c>
      <c r="G1723" s="35">
        <v>415</v>
      </c>
      <c r="H1723" s="36">
        <v>8.2199999999999995E-2</v>
      </c>
      <c r="I1723" s="37">
        <v>0.73</v>
      </c>
      <c r="J1723" s="37">
        <v>302.95</v>
      </c>
      <c r="K1723" s="35">
        <v>4</v>
      </c>
      <c r="L1723" s="37">
        <v>75.739999999999995</v>
      </c>
      <c r="M1723" s="37">
        <v>798.87</v>
      </c>
      <c r="N1723" s="38">
        <v>2.64</v>
      </c>
    </row>
    <row r="1724" spans="1:14" x14ac:dyDescent="0.3">
      <c r="A1724" s="33">
        <v>45350</v>
      </c>
      <c r="B1724" s="34" t="s">
        <v>64</v>
      </c>
      <c r="C1724" s="34" t="s">
        <v>61</v>
      </c>
      <c r="D1724" s="34" t="s">
        <v>71</v>
      </c>
      <c r="E1724" s="34" t="s">
        <v>69</v>
      </c>
      <c r="F1724" s="35">
        <v>96045</v>
      </c>
      <c r="G1724" s="35">
        <v>5820</v>
      </c>
      <c r="H1724" s="36">
        <v>6.0600000000000001E-2</v>
      </c>
      <c r="I1724" s="37">
        <v>0.31</v>
      </c>
      <c r="J1724" s="37">
        <v>1804.2</v>
      </c>
      <c r="K1724" s="35">
        <v>235</v>
      </c>
      <c r="L1724" s="37">
        <v>7.68</v>
      </c>
      <c r="M1724" s="37">
        <v>47063.54</v>
      </c>
      <c r="N1724" s="38">
        <v>26.09</v>
      </c>
    </row>
    <row r="1725" spans="1:14" x14ac:dyDescent="0.3">
      <c r="A1725" s="33">
        <v>45431</v>
      </c>
      <c r="B1725" s="34" t="s">
        <v>60</v>
      </c>
      <c r="C1725" s="34" t="s">
        <v>75</v>
      </c>
      <c r="D1725" s="34" t="s">
        <v>76</v>
      </c>
      <c r="E1725" s="34" t="s">
        <v>63</v>
      </c>
      <c r="F1725" s="35">
        <v>12644</v>
      </c>
      <c r="G1725" s="35">
        <v>572</v>
      </c>
      <c r="H1725" s="36">
        <v>4.53E-2</v>
      </c>
      <c r="I1725" s="37">
        <v>2.2200000000000002</v>
      </c>
      <c r="J1725" s="37">
        <v>1269.8399999999999</v>
      </c>
      <c r="K1725" s="35">
        <v>36</v>
      </c>
      <c r="L1725" s="37">
        <v>35.270000000000003</v>
      </c>
      <c r="M1725" s="37">
        <v>7362.94</v>
      </c>
      <c r="N1725" s="38">
        <v>5.8</v>
      </c>
    </row>
    <row r="1726" spans="1:14" x14ac:dyDescent="0.3">
      <c r="A1726" s="33">
        <v>45489</v>
      </c>
      <c r="B1726" s="34" t="s">
        <v>60</v>
      </c>
      <c r="C1726" s="34" t="s">
        <v>67</v>
      </c>
      <c r="D1726" s="34" t="s">
        <v>65</v>
      </c>
      <c r="E1726" s="34" t="s">
        <v>73</v>
      </c>
      <c r="F1726" s="35">
        <v>91901</v>
      </c>
      <c r="G1726" s="35">
        <v>3326</v>
      </c>
      <c r="H1726" s="36">
        <v>3.6200000000000003E-2</v>
      </c>
      <c r="I1726" s="37">
        <v>2.58</v>
      </c>
      <c r="J1726" s="37">
        <v>8581.08</v>
      </c>
      <c r="K1726" s="35">
        <v>261</v>
      </c>
      <c r="L1726" s="37">
        <v>32.880000000000003</v>
      </c>
      <c r="M1726" s="37">
        <v>77117.41</v>
      </c>
      <c r="N1726" s="38">
        <v>8.99</v>
      </c>
    </row>
    <row r="1727" spans="1:14" x14ac:dyDescent="0.3">
      <c r="A1727" s="33">
        <v>45381</v>
      </c>
      <c r="B1727" s="34" t="s">
        <v>60</v>
      </c>
      <c r="C1727" s="34" t="s">
        <v>61</v>
      </c>
      <c r="D1727" s="34" t="s">
        <v>62</v>
      </c>
      <c r="E1727" s="34" t="s">
        <v>73</v>
      </c>
      <c r="F1727" s="35">
        <v>120431</v>
      </c>
      <c r="G1727" s="35">
        <v>6262</v>
      </c>
      <c r="H1727" s="36">
        <v>5.1999999999999998E-2</v>
      </c>
      <c r="I1727" s="37">
        <v>2.77</v>
      </c>
      <c r="J1727" s="37">
        <v>17345.740000000002</v>
      </c>
      <c r="K1727" s="35">
        <v>188</v>
      </c>
      <c r="L1727" s="37">
        <v>92.26</v>
      </c>
      <c r="M1727" s="37">
        <v>8830.89</v>
      </c>
      <c r="N1727" s="38">
        <v>0.51</v>
      </c>
    </row>
    <row r="1728" spans="1:14" x14ac:dyDescent="0.3">
      <c r="A1728" s="33">
        <v>45314</v>
      </c>
      <c r="B1728" s="34" t="s">
        <v>60</v>
      </c>
      <c r="C1728" s="34" t="s">
        <v>61</v>
      </c>
      <c r="D1728" s="34" t="s">
        <v>62</v>
      </c>
      <c r="E1728" s="34" t="s">
        <v>72</v>
      </c>
      <c r="F1728" s="35">
        <v>7948</v>
      </c>
      <c r="G1728" s="35">
        <v>289</v>
      </c>
      <c r="H1728" s="36">
        <v>3.6400000000000002E-2</v>
      </c>
      <c r="I1728" s="37">
        <v>2.0699999999999998</v>
      </c>
      <c r="J1728" s="37">
        <v>598.23</v>
      </c>
      <c r="K1728" s="35">
        <v>6</v>
      </c>
      <c r="L1728" s="37">
        <v>99.7</v>
      </c>
      <c r="M1728" s="37">
        <v>1368.08</v>
      </c>
      <c r="N1728" s="38">
        <v>2.29</v>
      </c>
    </row>
    <row r="1729" spans="1:14" x14ac:dyDescent="0.3">
      <c r="A1729" s="33">
        <v>45518</v>
      </c>
      <c r="B1729" s="34" t="s">
        <v>74</v>
      </c>
      <c r="C1729" s="34" t="s">
        <v>67</v>
      </c>
      <c r="D1729" s="34" t="s">
        <v>76</v>
      </c>
      <c r="E1729" s="34" t="s">
        <v>63</v>
      </c>
      <c r="F1729" s="35">
        <v>108924</v>
      </c>
      <c r="G1729" s="35">
        <v>2134</v>
      </c>
      <c r="H1729" s="36">
        <v>1.9599999999999999E-2</v>
      </c>
      <c r="I1729" s="37">
        <v>0.41</v>
      </c>
      <c r="J1729" s="37">
        <v>874.94</v>
      </c>
      <c r="K1729" s="35">
        <v>85</v>
      </c>
      <c r="L1729" s="37">
        <v>10.29</v>
      </c>
      <c r="M1729" s="37">
        <v>7418.36</v>
      </c>
      <c r="N1729" s="38">
        <v>8.48</v>
      </c>
    </row>
    <row r="1730" spans="1:14" x14ac:dyDescent="0.3">
      <c r="A1730" s="33">
        <v>45381</v>
      </c>
      <c r="B1730" s="34" t="s">
        <v>60</v>
      </c>
      <c r="C1730" s="34" t="s">
        <v>61</v>
      </c>
      <c r="D1730" s="34" t="s">
        <v>71</v>
      </c>
      <c r="E1730" s="34" t="s">
        <v>72</v>
      </c>
      <c r="F1730" s="35">
        <v>66402</v>
      </c>
      <c r="G1730" s="35">
        <v>2695</v>
      </c>
      <c r="H1730" s="36">
        <v>4.0599999999999997E-2</v>
      </c>
      <c r="I1730" s="37">
        <v>1.86</v>
      </c>
      <c r="J1730" s="37">
        <v>5012.7</v>
      </c>
      <c r="K1730" s="35">
        <v>199</v>
      </c>
      <c r="L1730" s="37">
        <v>25.19</v>
      </c>
      <c r="M1730" s="37">
        <v>14266.46</v>
      </c>
      <c r="N1730" s="38">
        <v>2.85</v>
      </c>
    </row>
    <row r="1731" spans="1:14" x14ac:dyDescent="0.3">
      <c r="A1731" s="33">
        <v>45533</v>
      </c>
      <c r="B1731" s="34" t="s">
        <v>60</v>
      </c>
      <c r="C1731" s="34" t="s">
        <v>75</v>
      </c>
      <c r="D1731" s="34" t="s">
        <v>65</v>
      </c>
      <c r="E1731" s="34" t="s">
        <v>73</v>
      </c>
      <c r="F1731" s="35">
        <v>96676</v>
      </c>
      <c r="G1731" s="35">
        <v>5326</v>
      </c>
      <c r="H1731" s="36">
        <v>5.5100000000000003E-2</v>
      </c>
      <c r="I1731" s="37">
        <v>1.67</v>
      </c>
      <c r="J1731" s="37">
        <v>8894.42</v>
      </c>
      <c r="K1731" s="35">
        <v>355</v>
      </c>
      <c r="L1731" s="37">
        <v>25.05</v>
      </c>
      <c r="M1731" s="37">
        <v>14113.5</v>
      </c>
      <c r="N1731" s="38">
        <v>1.59</v>
      </c>
    </row>
    <row r="1732" spans="1:14" x14ac:dyDescent="0.3">
      <c r="A1732" s="33">
        <v>45392</v>
      </c>
      <c r="B1732" s="34" t="s">
        <v>74</v>
      </c>
      <c r="C1732" s="34" t="s">
        <v>61</v>
      </c>
      <c r="D1732" s="34" t="s">
        <v>62</v>
      </c>
      <c r="E1732" s="34" t="s">
        <v>69</v>
      </c>
      <c r="F1732" s="35">
        <v>10108</v>
      </c>
      <c r="G1732" s="35">
        <v>320</v>
      </c>
      <c r="H1732" s="36">
        <v>3.1699999999999999E-2</v>
      </c>
      <c r="I1732" s="37">
        <v>0.51</v>
      </c>
      <c r="J1732" s="37">
        <v>163.19999999999999</v>
      </c>
      <c r="K1732" s="35">
        <v>8</v>
      </c>
      <c r="L1732" s="37">
        <v>20.399999999999999</v>
      </c>
      <c r="M1732" s="37">
        <v>624.20000000000005</v>
      </c>
      <c r="N1732" s="38">
        <v>3.82</v>
      </c>
    </row>
    <row r="1733" spans="1:14" x14ac:dyDescent="0.3">
      <c r="A1733" s="33">
        <v>45381</v>
      </c>
      <c r="B1733" s="34" t="s">
        <v>60</v>
      </c>
      <c r="C1733" s="34" t="s">
        <v>61</v>
      </c>
      <c r="D1733" s="34" t="s">
        <v>71</v>
      </c>
      <c r="E1733" s="34" t="s">
        <v>66</v>
      </c>
      <c r="F1733" s="35">
        <v>23936</v>
      </c>
      <c r="G1733" s="35">
        <v>1211</v>
      </c>
      <c r="H1733" s="36">
        <v>5.0599999999999999E-2</v>
      </c>
      <c r="I1733" s="37">
        <v>2.7</v>
      </c>
      <c r="J1733" s="37">
        <v>3269.7</v>
      </c>
      <c r="K1733" s="35">
        <v>49</v>
      </c>
      <c r="L1733" s="37">
        <v>66.73</v>
      </c>
      <c r="M1733" s="37">
        <v>7236.18</v>
      </c>
      <c r="N1733" s="38">
        <v>2.21</v>
      </c>
    </row>
    <row r="1734" spans="1:14" x14ac:dyDescent="0.3">
      <c r="A1734" s="33">
        <v>45433</v>
      </c>
      <c r="B1734" s="34" t="s">
        <v>74</v>
      </c>
      <c r="C1734" s="34" t="s">
        <v>75</v>
      </c>
      <c r="D1734" s="34" t="s">
        <v>71</v>
      </c>
      <c r="E1734" s="34" t="s">
        <v>77</v>
      </c>
      <c r="F1734" s="35">
        <v>157455</v>
      </c>
      <c r="G1734" s="35">
        <v>3810</v>
      </c>
      <c r="H1734" s="36">
        <v>2.4199999999999999E-2</v>
      </c>
      <c r="I1734" s="37">
        <v>1.24</v>
      </c>
      <c r="J1734" s="37">
        <v>4724.3999999999996</v>
      </c>
      <c r="K1734" s="35">
        <v>244</v>
      </c>
      <c r="L1734" s="37">
        <v>19.36</v>
      </c>
      <c r="M1734" s="37">
        <v>55928.06</v>
      </c>
      <c r="N1734" s="38">
        <v>11.84</v>
      </c>
    </row>
    <row r="1735" spans="1:14" x14ac:dyDescent="0.3">
      <c r="A1735" s="33">
        <v>45380</v>
      </c>
      <c r="B1735" s="34" t="s">
        <v>60</v>
      </c>
      <c r="C1735" s="34" t="s">
        <v>70</v>
      </c>
      <c r="D1735" s="34" t="s">
        <v>62</v>
      </c>
      <c r="E1735" s="34" t="s">
        <v>78</v>
      </c>
      <c r="F1735" s="35">
        <v>165805</v>
      </c>
      <c r="G1735" s="35">
        <v>9832</v>
      </c>
      <c r="H1735" s="36">
        <v>5.9299999999999999E-2</v>
      </c>
      <c r="I1735" s="37">
        <v>2.76</v>
      </c>
      <c r="J1735" s="37">
        <v>27136.32</v>
      </c>
      <c r="K1735" s="35">
        <v>509</v>
      </c>
      <c r="L1735" s="37">
        <v>53.31</v>
      </c>
      <c r="M1735" s="37">
        <v>143237.84</v>
      </c>
      <c r="N1735" s="38">
        <v>5.28</v>
      </c>
    </row>
    <row r="1736" spans="1:14" x14ac:dyDescent="0.3">
      <c r="A1736" s="33">
        <v>45592</v>
      </c>
      <c r="B1736" s="34" t="s">
        <v>74</v>
      </c>
      <c r="C1736" s="34" t="s">
        <v>61</v>
      </c>
      <c r="D1736" s="34" t="s">
        <v>62</v>
      </c>
      <c r="E1736" s="34" t="s">
        <v>69</v>
      </c>
      <c r="F1736" s="35">
        <v>69385</v>
      </c>
      <c r="G1736" s="35">
        <v>2650</v>
      </c>
      <c r="H1736" s="36">
        <v>3.8199999999999998E-2</v>
      </c>
      <c r="I1736" s="37">
        <v>1.7</v>
      </c>
      <c r="J1736" s="37">
        <v>4505</v>
      </c>
      <c r="K1736" s="35">
        <v>160</v>
      </c>
      <c r="L1736" s="37">
        <v>28.16</v>
      </c>
      <c r="M1736" s="37">
        <v>32080.73</v>
      </c>
      <c r="N1736" s="38">
        <v>7.12</v>
      </c>
    </row>
    <row r="1737" spans="1:14" x14ac:dyDescent="0.3">
      <c r="A1737" s="33">
        <v>45409</v>
      </c>
      <c r="B1737" s="34" t="s">
        <v>64</v>
      </c>
      <c r="C1737" s="34" t="s">
        <v>67</v>
      </c>
      <c r="D1737" s="34" t="s">
        <v>68</v>
      </c>
      <c r="E1737" s="34" t="s">
        <v>78</v>
      </c>
      <c r="F1737" s="35">
        <v>89944</v>
      </c>
      <c r="G1737" s="35">
        <v>2644</v>
      </c>
      <c r="H1737" s="36">
        <v>2.9399999999999999E-2</v>
      </c>
      <c r="I1737" s="37">
        <v>0.31</v>
      </c>
      <c r="J1737" s="37">
        <v>819.64</v>
      </c>
      <c r="K1737" s="35">
        <v>80</v>
      </c>
      <c r="L1737" s="37">
        <v>10.25</v>
      </c>
      <c r="M1737" s="37">
        <v>12715.09</v>
      </c>
      <c r="N1737" s="38">
        <v>15.51</v>
      </c>
    </row>
    <row r="1738" spans="1:14" x14ac:dyDescent="0.3">
      <c r="A1738" s="33">
        <v>45385</v>
      </c>
      <c r="B1738" s="34" t="s">
        <v>74</v>
      </c>
      <c r="C1738" s="34" t="s">
        <v>61</v>
      </c>
      <c r="D1738" s="34" t="s">
        <v>71</v>
      </c>
      <c r="E1738" s="34" t="s">
        <v>77</v>
      </c>
      <c r="F1738" s="35">
        <v>62603</v>
      </c>
      <c r="G1738" s="35">
        <v>1396</v>
      </c>
      <c r="H1738" s="36">
        <v>2.23E-2</v>
      </c>
      <c r="I1738" s="37">
        <v>1.5</v>
      </c>
      <c r="J1738" s="37">
        <v>2094</v>
      </c>
      <c r="K1738" s="35">
        <v>17</v>
      </c>
      <c r="L1738" s="37">
        <v>123.18</v>
      </c>
      <c r="M1738" s="37">
        <v>2988.24</v>
      </c>
      <c r="N1738" s="38">
        <v>1.43</v>
      </c>
    </row>
    <row r="1739" spans="1:14" x14ac:dyDescent="0.3">
      <c r="A1739" s="33">
        <v>45301</v>
      </c>
      <c r="B1739" s="34" t="s">
        <v>74</v>
      </c>
      <c r="C1739" s="34" t="s">
        <v>70</v>
      </c>
      <c r="D1739" s="34" t="s">
        <v>65</v>
      </c>
      <c r="E1739" s="34" t="s">
        <v>69</v>
      </c>
      <c r="F1739" s="35">
        <v>62284</v>
      </c>
      <c r="G1739" s="35">
        <v>1413</v>
      </c>
      <c r="H1739" s="36">
        <v>2.2700000000000001E-2</v>
      </c>
      <c r="I1739" s="37">
        <v>1.06</v>
      </c>
      <c r="J1739" s="37">
        <v>1497.78</v>
      </c>
      <c r="K1739" s="35">
        <v>88</v>
      </c>
      <c r="L1739" s="37">
        <v>17.02</v>
      </c>
      <c r="M1739" s="37">
        <v>10561.64</v>
      </c>
      <c r="N1739" s="38">
        <v>7.05</v>
      </c>
    </row>
    <row r="1740" spans="1:14" x14ac:dyDescent="0.3">
      <c r="A1740" s="33">
        <v>45605</v>
      </c>
      <c r="B1740" s="34" t="s">
        <v>74</v>
      </c>
      <c r="C1740" s="34" t="s">
        <v>67</v>
      </c>
      <c r="D1740" s="34" t="s">
        <v>65</v>
      </c>
      <c r="E1740" s="34" t="s">
        <v>69</v>
      </c>
      <c r="F1740" s="35">
        <v>172812</v>
      </c>
      <c r="G1740" s="35">
        <v>2972</v>
      </c>
      <c r="H1740" s="36">
        <v>1.72E-2</v>
      </c>
      <c r="I1740" s="37">
        <v>0.99</v>
      </c>
      <c r="J1740" s="37">
        <v>2942.28</v>
      </c>
      <c r="K1740" s="35">
        <v>178</v>
      </c>
      <c r="L1740" s="37">
        <v>16.53</v>
      </c>
      <c r="M1740" s="37">
        <v>47180.83</v>
      </c>
      <c r="N1740" s="38">
        <v>16.04</v>
      </c>
    </row>
    <row r="1741" spans="1:14" x14ac:dyDescent="0.3">
      <c r="A1741" s="33">
        <v>45310</v>
      </c>
      <c r="B1741" s="34" t="s">
        <v>60</v>
      </c>
      <c r="C1741" s="34" t="s">
        <v>61</v>
      </c>
      <c r="D1741" s="34" t="s">
        <v>68</v>
      </c>
      <c r="E1741" s="34" t="s">
        <v>63</v>
      </c>
      <c r="F1741" s="35">
        <v>82764</v>
      </c>
      <c r="G1741" s="35">
        <v>2276</v>
      </c>
      <c r="H1741" s="36">
        <v>2.75E-2</v>
      </c>
      <c r="I1741" s="37">
        <v>0.91</v>
      </c>
      <c r="J1741" s="37">
        <v>2071.16</v>
      </c>
      <c r="K1741" s="35">
        <v>130</v>
      </c>
      <c r="L1741" s="37">
        <v>15.93</v>
      </c>
      <c r="M1741" s="37">
        <v>22792.2</v>
      </c>
      <c r="N1741" s="38">
        <v>11</v>
      </c>
    </row>
    <row r="1742" spans="1:14" x14ac:dyDescent="0.3">
      <c r="A1742" s="33">
        <v>45396</v>
      </c>
      <c r="B1742" s="34" t="s">
        <v>74</v>
      </c>
      <c r="C1742" s="34" t="s">
        <v>61</v>
      </c>
      <c r="D1742" s="34" t="s">
        <v>76</v>
      </c>
      <c r="E1742" s="34" t="s">
        <v>77</v>
      </c>
      <c r="F1742" s="35">
        <v>133260</v>
      </c>
      <c r="G1742" s="35">
        <v>2611</v>
      </c>
      <c r="H1742" s="36">
        <v>1.9599999999999999E-2</v>
      </c>
      <c r="I1742" s="37">
        <v>2.08</v>
      </c>
      <c r="J1742" s="37">
        <v>5430.88</v>
      </c>
      <c r="K1742" s="35">
        <v>108</v>
      </c>
      <c r="L1742" s="37">
        <v>50.29</v>
      </c>
      <c r="M1742" s="37">
        <v>16755.509999999998</v>
      </c>
      <c r="N1742" s="38">
        <v>3.09</v>
      </c>
    </row>
    <row r="1743" spans="1:14" x14ac:dyDescent="0.3">
      <c r="A1743" s="33">
        <v>45481</v>
      </c>
      <c r="B1743" s="34" t="s">
        <v>60</v>
      </c>
      <c r="C1743" s="34" t="s">
        <v>61</v>
      </c>
      <c r="D1743" s="34" t="s">
        <v>62</v>
      </c>
      <c r="E1743" s="34" t="s">
        <v>78</v>
      </c>
      <c r="F1743" s="35">
        <v>188420</v>
      </c>
      <c r="G1743" s="35">
        <v>9364</v>
      </c>
      <c r="H1743" s="36">
        <v>4.9700000000000001E-2</v>
      </c>
      <c r="I1743" s="37">
        <v>2.65</v>
      </c>
      <c r="J1743" s="37">
        <v>24814.6</v>
      </c>
      <c r="K1743" s="35">
        <v>324</v>
      </c>
      <c r="L1743" s="37">
        <v>76.59</v>
      </c>
      <c r="M1743" s="37">
        <v>68719.44</v>
      </c>
      <c r="N1743" s="38">
        <v>2.77</v>
      </c>
    </row>
    <row r="1744" spans="1:14" x14ac:dyDescent="0.3">
      <c r="A1744" s="33">
        <v>45342</v>
      </c>
      <c r="B1744" s="34" t="s">
        <v>60</v>
      </c>
      <c r="C1744" s="34" t="s">
        <v>70</v>
      </c>
      <c r="D1744" s="34" t="s">
        <v>62</v>
      </c>
      <c r="E1744" s="34" t="s">
        <v>66</v>
      </c>
      <c r="F1744" s="35">
        <v>89431</v>
      </c>
      <c r="G1744" s="35">
        <v>3300</v>
      </c>
      <c r="H1744" s="36">
        <v>3.6900000000000002E-2</v>
      </c>
      <c r="I1744" s="37">
        <v>1.47</v>
      </c>
      <c r="J1744" s="37">
        <v>4851</v>
      </c>
      <c r="K1744" s="35">
        <v>56</v>
      </c>
      <c r="L1744" s="37">
        <v>86.62</v>
      </c>
      <c r="M1744" s="37">
        <v>9891.8799999999992</v>
      </c>
      <c r="N1744" s="38">
        <v>2.04</v>
      </c>
    </row>
    <row r="1745" spans="1:14" x14ac:dyDescent="0.3">
      <c r="A1745" s="33">
        <v>45295</v>
      </c>
      <c r="B1745" s="34" t="s">
        <v>60</v>
      </c>
      <c r="C1745" s="34" t="s">
        <v>75</v>
      </c>
      <c r="D1745" s="34" t="s">
        <v>76</v>
      </c>
      <c r="E1745" s="34" t="s">
        <v>69</v>
      </c>
      <c r="F1745" s="35">
        <v>52897</v>
      </c>
      <c r="G1745" s="35">
        <v>1883</v>
      </c>
      <c r="H1745" s="36">
        <v>3.56E-2</v>
      </c>
      <c r="I1745" s="37">
        <v>2.77</v>
      </c>
      <c r="J1745" s="37">
        <v>5215.91</v>
      </c>
      <c r="K1745" s="35">
        <v>108</v>
      </c>
      <c r="L1745" s="37">
        <v>48.3</v>
      </c>
      <c r="M1745" s="37">
        <v>5473.28</v>
      </c>
      <c r="N1745" s="38">
        <v>1.05</v>
      </c>
    </row>
    <row r="1746" spans="1:14" x14ac:dyDescent="0.3">
      <c r="A1746" s="33">
        <v>45452</v>
      </c>
      <c r="B1746" s="34" t="s">
        <v>60</v>
      </c>
      <c r="C1746" s="34" t="s">
        <v>70</v>
      </c>
      <c r="D1746" s="34" t="s">
        <v>71</v>
      </c>
      <c r="E1746" s="34" t="s">
        <v>66</v>
      </c>
      <c r="F1746" s="35">
        <v>83334</v>
      </c>
      <c r="G1746" s="35">
        <v>3341</v>
      </c>
      <c r="H1746" s="36">
        <v>4.0099999999999997E-2</v>
      </c>
      <c r="I1746" s="37">
        <v>1.73</v>
      </c>
      <c r="J1746" s="37">
        <v>5779.93</v>
      </c>
      <c r="K1746" s="35">
        <v>256</v>
      </c>
      <c r="L1746" s="37">
        <v>22.58</v>
      </c>
      <c r="M1746" s="37">
        <v>32514.9</v>
      </c>
      <c r="N1746" s="38">
        <v>5.63</v>
      </c>
    </row>
    <row r="1747" spans="1:14" x14ac:dyDescent="0.3">
      <c r="A1747" s="33">
        <v>45582</v>
      </c>
      <c r="B1747" s="34" t="s">
        <v>64</v>
      </c>
      <c r="C1747" s="34" t="s">
        <v>70</v>
      </c>
      <c r="D1747" s="34" t="s">
        <v>71</v>
      </c>
      <c r="E1747" s="34" t="s">
        <v>69</v>
      </c>
      <c r="F1747" s="35">
        <v>180721</v>
      </c>
      <c r="G1747" s="35">
        <v>9379</v>
      </c>
      <c r="H1747" s="36">
        <v>5.1900000000000002E-2</v>
      </c>
      <c r="I1747" s="37">
        <v>1.3</v>
      </c>
      <c r="J1747" s="37">
        <v>12192.7</v>
      </c>
      <c r="K1747" s="35">
        <v>286</v>
      </c>
      <c r="L1747" s="37">
        <v>42.63</v>
      </c>
      <c r="M1747" s="37">
        <v>52558.42</v>
      </c>
      <c r="N1747" s="38">
        <v>4.3099999999999996</v>
      </c>
    </row>
    <row r="1748" spans="1:14" x14ac:dyDescent="0.3">
      <c r="A1748" s="33">
        <v>45635</v>
      </c>
      <c r="B1748" s="34" t="s">
        <v>64</v>
      </c>
      <c r="C1748" s="34" t="s">
        <v>75</v>
      </c>
      <c r="D1748" s="34" t="s">
        <v>68</v>
      </c>
      <c r="E1748" s="34" t="s">
        <v>78</v>
      </c>
      <c r="F1748" s="35">
        <v>195759</v>
      </c>
      <c r="G1748" s="35">
        <v>7262</v>
      </c>
      <c r="H1748" s="36">
        <v>3.7100000000000001E-2</v>
      </c>
      <c r="I1748" s="37">
        <v>0.47</v>
      </c>
      <c r="J1748" s="37">
        <v>3413.14</v>
      </c>
      <c r="K1748" s="35">
        <v>75</v>
      </c>
      <c r="L1748" s="37">
        <v>45.51</v>
      </c>
      <c r="M1748" s="37">
        <v>16681.830000000002</v>
      </c>
      <c r="N1748" s="38">
        <v>4.8899999999999997</v>
      </c>
    </row>
    <row r="1749" spans="1:14" x14ac:dyDescent="0.3">
      <c r="A1749" s="33">
        <v>45483</v>
      </c>
      <c r="B1749" s="34" t="s">
        <v>60</v>
      </c>
      <c r="C1749" s="34" t="s">
        <v>67</v>
      </c>
      <c r="D1749" s="34" t="s">
        <v>71</v>
      </c>
      <c r="E1749" s="34" t="s">
        <v>69</v>
      </c>
      <c r="F1749" s="35">
        <v>158514</v>
      </c>
      <c r="G1749" s="35">
        <v>4565</v>
      </c>
      <c r="H1749" s="36">
        <v>2.8799999999999999E-2</v>
      </c>
      <c r="I1749" s="37">
        <v>2.14</v>
      </c>
      <c r="J1749" s="37">
        <v>9769.1</v>
      </c>
      <c r="K1749" s="35">
        <v>235</v>
      </c>
      <c r="L1749" s="37">
        <v>41.57</v>
      </c>
      <c r="M1749" s="37">
        <v>15388.32</v>
      </c>
      <c r="N1749" s="38">
        <v>1.58</v>
      </c>
    </row>
    <row r="1750" spans="1:14" x14ac:dyDescent="0.3">
      <c r="A1750" s="33">
        <v>45429</v>
      </c>
      <c r="B1750" s="34" t="s">
        <v>74</v>
      </c>
      <c r="C1750" s="34" t="s">
        <v>67</v>
      </c>
      <c r="D1750" s="34" t="s">
        <v>71</v>
      </c>
      <c r="E1750" s="34" t="s">
        <v>69</v>
      </c>
      <c r="F1750" s="35">
        <v>82948</v>
      </c>
      <c r="G1750" s="35">
        <v>2347</v>
      </c>
      <c r="H1750" s="36">
        <v>2.8299999999999999E-2</v>
      </c>
      <c r="I1750" s="37">
        <v>2.31</v>
      </c>
      <c r="J1750" s="37">
        <v>5421.57</v>
      </c>
      <c r="K1750" s="35">
        <v>65</v>
      </c>
      <c r="L1750" s="37">
        <v>83.41</v>
      </c>
      <c r="M1750" s="37">
        <v>10510.94</v>
      </c>
      <c r="N1750" s="38">
        <v>1.94</v>
      </c>
    </row>
    <row r="1751" spans="1:14" x14ac:dyDescent="0.3">
      <c r="A1751" s="33">
        <v>45324</v>
      </c>
      <c r="B1751" s="34" t="s">
        <v>60</v>
      </c>
      <c r="C1751" s="34" t="s">
        <v>67</v>
      </c>
      <c r="D1751" s="34" t="s">
        <v>71</v>
      </c>
      <c r="E1751" s="34" t="s">
        <v>73</v>
      </c>
      <c r="F1751" s="35">
        <v>44420</v>
      </c>
      <c r="G1751" s="35">
        <v>1066</v>
      </c>
      <c r="H1751" s="36">
        <v>2.4E-2</v>
      </c>
      <c r="I1751" s="37">
        <v>3.64</v>
      </c>
      <c r="J1751" s="37">
        <v>3880.24</v>
      </c>
      <c r="K1751" s="35">
        <v>44</v>
      </c>
      <c r="L1751" s="37">
        <v>88.19</v>
      </c>
      <c r="M1751" s="37">
        <v>2655.91</v>
      </c>
      <c r="N1751" s="38">
        <v>0.68</v>
      </c>
    </row>
    <row r="1752" spans="1:14" x14ac:dyDescent="0.3">
      <c r="A1752" s="33">
        <v>45347</v>
      </c>
      <c r="B1752" s="34" t="s">
        <v>64</v>
      </c>
      <c r="C1752" s="34" t="s">
        <v>61</v>
      </c>
      <c r="D1752" s="34" t="s">
        <v>62</v>
      </c>
      <c r="E1752" s="34" t="s">
        <v>63</v>
      </c>
      <c r="F1752" s="35">
        <v>57006</v>
      </c>
      <c r="G1752" s="35">
        <v>2981</v>
      </c>
      <c r="H1752" s="36">
        <v>5.2299999999999999E-2</v>
      </c>
      <c r="I1752" s="37">
        <v>1.1000000000000001</v>
      </c>
      <c r="J1752" s="37">
        <v>3279.1</v>
      </c>
      <c r="K1752" s="35">
        <v>192</v>
      </c>
      <c r="L1752" s="37">
        <v>17.079999999999998</v>
      </c>
      <c r="M1752" s="37">
        <v>40566.370000000003</v>
      </c>
      <c r="N1752" s="38">
        <v>12.37</v>
      </c>
    </row>
    <row r="1753" spans="1:14" x14ac:dyDescent="0.3">
      <c r="A1753" s="33">
        <v>45519</v>
      </c>
      <c r="B1753" s="34" t="s">
        <v>74</v>
      </c>
      <c r="C1753" s="34" t="s">
        <v>67</v>
      </c>
      <c r="D1753" s="34" t="s">
        <v>71</v>
      </c>
      <c r="E1753" s="34" t="s">
        <v>69</v>
      </c>
      <c r="F1753" s="35">
        <v>37588</v>
      </c>
      <c r="G1753" s="35">
        <v>1191</v>
      </c>
      <c r="H1753" s="36">
        <v>3.1699999999999999E-2</v>
      </c>
      <c r="I1753" s="37">
        <v>1.96</v>
      </c>
      <c r="J1753" s="37">
        <v>2334.36</v>
      </c>
      <c r="K1753" s="35">
        <v>48</v>
      </c>
      <c r="L1753" s="37">
        <v>48.63</v>
      </c>
      <c r="M1753" s="37">
        <v>13381.03</v>
      </c>
      <c r="N1753" s="38">
        <v>5.73</v>
      </c>
    </row>
    <row r="1754" spans="1:14" x14ac:dyDescent="0.3">
      <c r="A1754" s="33">
        <v>45324</v>
      </c>
      <c r="B1754" s="34" t="s">
        <v>64</v>
      </c>
      <c r="C1754" s="34" t="s">
        <v>70</v>
      </c>
      <c r="D1754" s="34" t="s">
        <v>68</v>
      </c>
      <c r="E1754" s="34" t="s">
        <v>78</v>
      </c>
      <c r="F1754" s="35">
        <v>196605</v>
      </c>
      <c r="G1754" s="35">
        <v>14922</v>
      </c>
      <c r="H1754" s="36">
        <v>7.5899999999999995E-2</v>
      </c>
      <c r="I1754" s="37">
        <v>1.76</v>
      </c>
      <c r="J1754" s="37">
        <v>26262.720000000001</v>
      </c>
      <c r="K1754" s="35">
        <v>757</v>
      </c>
      <c r="L1754" s="37">
        <v>34.69</v>
      </c>
      <c r="M1754" s="37">
        <v>181823.28</v>
      </c>
      <c r="N1754" s="38">
        <v>6.92</v>
      </c>
    </row>
    <row r="1755" spans="1:14" x14ac:dyDescent="0.3">
      <c r="A1755" s="33">
        <v>45383</v>
      </c>
      <c r="B1755" s="34" t="s">
        <v>74</v>
      </c>
      <c r="C1755" s="34" t="s">
        <v>67</v>
      </c>
      <c r="D1755" s="34" t="s">
        <v>62</v>
      </c>
      <c r="E1755" s="34" t="s">
        <v>72</v>
      </c>
      <c r="F1755" s="35">
        <v>59376</v>
      </c>
      <c r="G1755" s="35">
        <v>564</v>
      </c>
      <c r="H1755" s="36">
        <v>9.4999999999999998E-3</v>
      </c>
      <c r="I1755" s="37">
        <v>0.64</v>
      </c>
      <c r="J1755" s="37">
        <v>360.96</v>
      </c>
      <c r="K1755" s="35">
        <v>25</v>
      </c>
      <c r="L1755" s="37">
        <v>14.44</v>
      </c>
      <c r="M1755" s="37">
        <v>4065.83</v>
      </c>
      <c r="N1755" s="38">
        <v>11.26</v>
      </c>
    </row>
    <row r="1756" spans="1:14" x14ac:dyDescent="0.3">
      <c r="A1756" s="33">
        <v>45433</v>
      </c>
      <c r="B1756" s="34" t="s">
        <v>74</v>
      </c>
      <c r="C1756" s="34" t="s">
        <v>67</v>
      </c>
      <c r="D1756" s="34" t="s">
        <v>76</v>
      </c>
      <c r="E1756" s="34" t="s">
        <v>77</v>
      </c>
      <c r="F1756" s="35">
        <v>15865</v>
      </c>
      <c r="G1756" s="35">
        <v>528</v>
      </c>
      <c r="H1756" s="36">
        <v>3.3300000000000003E-2</v>
      </c>
      <c r="I1756" s="37">
        <v>1.88</v>
      </c>
      <c r="J1756" s="37">
        <v>992.64</v>
      </c>
      <c r="K1756" s="35">
        <v>39</v>
      </c>
      <c r="L1756" s="37">
        <v>25.45</v>
      </c>
      <c r="M1756" s="37">
        <v>3165.22</v>
      </c>
      <c r="N1756" s="38">
        <v>3.19</v>
      </c>
    </row>
    <row r="1757" spans="1:14" x14ac:dyDescent="0.3">
      <c r="A1757" s="33">
        <v>45622</v>
      </c>
      <c r="B1757" s="34" t="s">
        <v>60</v>
      </c>
      <c r="C1757" s="34" t="s">
        <v>67</v>
      </c>
      <c r="D1757" s="34" t="s">
        <v>65</v>
      </c>
      <c r="E1757" s="34" t="s">
        <v>63</v>
      </c>
      <c r="F1757" s="35">
        <v>80511</v>
      </c>
      <c r="G1757" s="35">
        <v>3622</v>
      </c>
      <c r="H1757" s="36">
        <v>4.4999999999999998E-2</v>
      </c>
      <c r="I1757" s="37">
        <v>3.32</v>
      </c>
      <c r="J1757" s="37">
        <v>12025.04</v>
      </c>
      <c r="K1757" s="35">
        <v>140</v>
      </c>
      <c r="L1757" s="37">
        <v>85.89</v>
      </c>
      <c r="M1757" s="37">
        <v>31780.44</v>
      </c>
      <c r="N1757" s="38">
        <v>2.64</v>
      </c>
    </row>
    <row r="1758" spans="1:14" x14ac:dyDescent="0.3">
      <c r="A1758" s="33">
        <v>45469</v>
      </c>
      <c r="B1758" s="34" t="s">
        <v>60</v>
      </c>
      <c r="C1758" s="34" t="s">
        <v>70</v>
      </c>
      <c r="D1758" s="34" t="s">
        <v>76</v>
      </c>
      <c r="E1758" s="34" t="s">
        <v>66</v>
      </c>
      <c r="F1758" s="35">
        <v>143944</v>
      </c>
      <c r="G1758" s="35">
        <v>7873</v>
      </c>
      <c r="H1758" s="36">
        <v>5.4699999999999999E-2</v>
      </c>
      <c r="I1758" s="37">
        <v>2.11</v>
      </c>
      <c r="J1758" s="37">
        <v>16612.03</v>
      </c>
      <c r="K1758" s="35">
        <v>513</v>
      </c>
      <c r="L1758" s="37">
        <v>32.380000000000003</v>
      </c>
      <c r="M1758" s="37">
        <v>65899.820000000007</v>
      </c>
      <c r="N1758" s="38">
        <v>3.97</v>
      </c>
    </row>
    <row r="1759" spans="1:14" x14ac:dyDescent="0.3">
      <c r="A1759" s="33">
        <v>45481</v>
      </c>
      <c r="B1759" s="34" t="s">
        <v>74</v>
      </c>
      <c r="C1759" s="34" t="s">
        <v>61</v>
      </c>
      <c r="D1759" s="34" t="s">
        <v>71</v>
      </c>
      <c r="E1759" s="34" t="s">
        <v>66</v>
      </c>
      <c r="F1759" s="35">
        <v>44612</v>
      </c>
      <c r="G1759" s="35">
        <v>811</v>
      </c>
      <c r="H1759" s="36">
        <v>1.8200000000000001E-2</v>
      </c>
      <c r="I1759" s="37">
        <v>2</v>
      </c>
      <c r="J1759" s="37">
        <v>1622</v>
      </c>
      <c r="K1759" s="35">
        <v>23</v>
      </c>
      <c r="L1759" s="37">
        <v>70.52</v>
      </c>
      <c r="M1759" s="37">
        <v>1008.1</v>
      </c>
      <c r="N1759" s="38">
        <v>0.62</v>
      </c>
    </row>
    <row r="1760" spans="1:14" x14ac:dyDescent="0.3">
      <c r="A1760" s="33">
        <v>45609</v>
      </c>
      <c r="B1760" s="34" t="s">
        <v>60</v>
      </c>
      <c r="C1760" s="34" t="s">
        <v>75</v>
      </c>
      <c r="D1760" s="34" t="s">
        <v>76</v>
      </c>
      <c r="E1760" s="34" t="s">
        <v>78</v>
      </c>
      <c r="F1760" s="35">
        <v>17299</v>
      </c>
      <c r="G1760" s="35">
        <v>479</v>
      </c>
      <c r="H1760" s="36">
        <v>2.7699999999999999E-2</v>
      </c>
      <c r="I1760" s="37">
        <v>1.94</v>
      </c>
      <c r="J1760" s="37">
        <v>929.26</v>
      </c>
      <c r="K1760" s="35">
        <v>30</v>
      </c>
      <c r="L1760" s="37">
        <v>30.98</v>
      </c>
      <c r="M1760" s="37">
        <v>3163.73</v>
      </c>
      <c r="N1760" s="38">
        <v>3.4</v>
      </c>
    </row>
    <row r="1761" spans="1:14" x14ac:dyDescent="0.3">
      <c r="A1761" s="33">
        <v>45594</v>
      </c>
      <c r="B1761" s="34" t="s">
        <v>64</v>
      </c>
      <c r="C1761" s="34" t="s">
        <v>70</v>
      </c>
      <c r="D1761" s="34" t="s">
        <v>68</v>
      </c>
      <c r="E1761" s="34" t="s">
        <v>63</v>
      </c>
      <c r="F1761" s="35">
        <v>71514</v>
      </c>
      <c r="G1761" s="35">
        <v>3354</v>
      </c>
      <c r="H1761" s="36">
        <v>4.6899999999999997E-2</v>
      </c>
      <c r="I1761" s="37">
        <v>1.31</v>
      </c>
      <c r="J1761" s="37">
        <v>4393.74</v>
      </c>
      <c r="K1761" s="35">
        <v>165</v>
      </c>
      <c r="L1761" s="37">
        <v>26.63</v>
      </c>
      <c r="M1761" s="37">
        <v>17363.87</v>
      </c>
      <c r="N1761" s="38">
        <v>3.95</v>
      </c>
    </row>
    <row r="1762" spans="1:14" x14ac:dyDescent="0.3">
      <c r="A1762" s="33">
        <v>45365</v>
      </c>
      <c r="B1762" s="34" t="s">
        <v>60</v>
      </c>
      <c r="C1762" s="34" t="s">
        <v>67</v>
      </c>
      <c r="D1762" s="34" t="s">
        <v>76</v>
      </c>
      <c r="E1762" s="34" t="s">
        <v>77</v>
      </c>
      <c r="F1762" s="35">
        <v>37135</v>
      </c>
      <c r="G1762" s="35">
        <v>1006</v>
      </c>
      <c r="H1762" s="36">
        <v>2.7099999999999999E-2</v>
      </c>
      <c r="I1762" s="37">
        <v>1.92</v>
      </c>
      <c r="J1762" s="37">
        <v>1931.52</v>
      </c>
      <c r="K1762" s="35">
        <v>62</v>
      </c>
      <c r="L1762" s="37">
        <v>31.15</v>
      </c>
      <c r="M1762" s="37">
        <v>17772.87</v>
      </c>
      <c r="N1762" s="38">
        <v>9.1999999999999993</v>
      </c>
    </row>
    <row r="1763" spans="1:14" x14ac:dyDescent="0.3">
      <c r="A1763" s="33">
        <v>45619</v>
      </c>
      <c r="B1763" s="34" t="s">
        <v>60</v>
      </c>
      <c r="C1763" s="34" t="s">
        <v>75</v>
      </c>
      <c r="D1763" s="34" t="s">
        <v>65</v>
      </c>
      <c r="E1763" s="34" t="s">
        <v>63</v>
      </c>
      <c r="F1763" s="35">
        <v>80542</v>
      </c>
      <c r="G1763" s="35">
        <v>4236</v>
      </c>
      <c r="H1763" s="36">
        <v>5.2600000000000001E-2</v>
      </c>
      <c r="I1763" s="37">
        <v>2.15</v>
      </c>
      <c r="J1763" s="37">
        <v>9107.4</v>
      </c>
      <c r="K1763" s="35">
        <v>104</v>
      </c>
      <c r="L1763" s="37">
        <v>87.57</v>
      </c>
      <c r="M1763" s="37">
        <v>15932.35</v>
      </c>
      <c r="N1763" s="38">
        <v>1.75</v>
      </c>
    </row>
    <row r="1764" spans="1:14" x14ac:dyDescent="0.3">
      <c r="A1764" s="33">
        <v>45385</v>
      </c>
      <c r="B1764" s="34" t="s">
        <v>60</v>
      </c>
      <c r="C1764" s="34" t="s">
        <v>70</v>
      </c>
      <c r="D1764" s="34" t="s">
        <v>76</v>
      </c>
      <c r="E1764" s="34" t="s">
        <v>78</v>
      </c>
      <c r="F1764" s="35">
        <v>112992</v>
      </c>
      <c r="G1764" s="35">
        <v>2802</v>
      </c>
      <c r="H1764" s="36">
        <v>2.4799999999999999E-2</v>
      </c>
      <c r="I1764" s="37">
        <v>3</v>
      </c>
      <c r="J1764" s="37">
        <v>8406</v>
      </c>
      <c r="K1764" s="35">
        <v>124</v>
      </c>
      <c r="L1764" s="37">
        <v>67.790000000000006</v>
      </c>
      <c r="M1764" s="37">
        <v>7395.68</v>
      </c>
      <c r="N1764" s="38">
        <v>0.88</v>
      </c>
    </row>
    <row r="1765" spans="1:14" x14ac:dyDescent="0.3">
      <c r="A1765" s="33">
        <v>45452</v>
      </c>
      <c r="B1765" s="34" t="s">
        <v>74</v>
      </c>
      <c r="C1765" s="34" t="s">
        <v>61</v>
      </c>
      <c r="D1765" s="34" t="s">
        <v>71</v>
      </c>
      <c r="E1765" s="34" t="s">
        <v>66</v>
      </c>
      <c r="F1765" s="35">
        <v>119863</v>
      </c>
      <c r="G1765" s="35">
        <v>1114</v>
      </c>
      <c r="H1765" s="36">
        <v>9.2999999999999992E-3</v>
      </c>
      <c r="I1765" s="37">
        <v>1.23</v>
      </c>
      <c r="J1765" s="37">
        <v>1370.22</v>
      </c>
      <c r="K1765" s="35">
        <v>75</v>
      </c>
      <c r="L1765" s="37">
        <v>18.27</v>
      </c>
      <c r="M1765" s="37">
        <v>21180.36</v>
      </c>
      <c r="N1765" s="38">
        <v>15.46</v>
      </c>
    </row>
    <row r="1766" spans="1:14" x14ac:dyDescent="0.3">
      <c r="A1766" s="33">
        <v>45329</v>
      </c>
      <c r="B1766" s="34" t="s">
        <v>64</v>
      </c>
      <c r="C1766" s="34" t="s">
        <v>61</v>
      </c>
      <c r="D1766" s="34" t="s">
        <v>62</v>
      </c>
      <c r="E1766" s="34" t="s">
        <v>72</v>
      </c>
      <c r="F1766" s="35">
        <v>108806</v>
      </c>
      <c r="G1766" s="35">
        <v>5070</v>
      </c>
      <c r="H1766" s="36">
        <v>4.6600000000000003E-2</v>
      </c>
      <c r="I1766" s="37">
        <v>0.36</v>
      </c>
      <c r="J1766" s="37">
        <v>1825.2</v>
      </c>
      <c r="K1766" s="35">
        <v>279</v>
      </c>
      <c r="L1766" s="37">
        <v>6.54</v>
      </c>
      <c r="M1766" s="37">
        <v>26787.94</v>
      </c>
      <c r="N1766" s="38">
        <v>14.68</v>
      </c>
    </row>
    <row r="1767" spans="1:14" x14ac:dyDescent="0.3">
      <c r="A1767" s="33">
        <v>45626</v>
      </c>
      <c r="B1767" s="34" t="s">
        <v>64</v>
      </c>
      <c r="C1767" s="34" t="s">
        <v>70</v>
      </c>
      <c r="D1767" s="34" t="s">
        <v>68</v>
      </c>
      <c r="E1767" s="34" t="s">
        <v>66</v>
      </c>
      <c r="F1767" s="35">
        <v>7234</v>
      </c>
      <c r="G1767" s="35">
        <v>496</v>
      </c>
      <c r="H1767" s="36">
        <v>6.8699999999999997E-2</v>
      </c>
      <c r="I1767" s="37">
        <v>0.71</v>
      </c>
      <c r="J1767" s="37">
        <v>352.16</v>
      </c>
      <c r="K1767" s="35">
        <v>10</v>
      </c>
      <c r="L1767" s="37">
        <v>35.22</v>
      </c>
      <c r="M1767" s="37">
        <v>399.8</v>
      </c>
      <c r="N1767" s="38">
        <v>1.1399999999999999</v>
      </c>
    </row>
    <row r="1768" spans="1:14" x14ac:dyDescent="0.3">
      <c r="A1768" s="33">
        <v>45415</v>
      </c>
      <c r="B1768" s="34" t="s">
        <v>74</v>
      </c>
      <c r="C1768" s="34" t="s">
        <v>70</v>
      </c>
      <c r="D1768" s="34" t="s">
        <v>62</v>
      </c>
      <c r="E1768" s="34" t="s">
        <v>78</v>
      </c>
      <c r="F1768" s="35">
        <v>143541</v>
      </c>
      <c r="G1768" s="35">
        <v>1980</v>
      </c>
      <c r="H1768" s="36">
        <v>1.38E-2</v>
      </c>
      <c r="I1768" s="37">
        <v>1.41</v>
      </c>
      <c r="J1768" s="37">
        <v>2791.8</v>
      </c>
      <c r="K1768" s="35">
        <v>152</v>
      </c>
      <c r="L1768" s="37">
        <v>18.37</v>
      </c>
      <c r="M1768" s="37">
        <v>42063.3</v>
      </c>
      <c r="N1768" s="38">
        <v>15.07</v>
      </c>
    </row>
    <row r="1769" spans="1:14" x14ac:dyDescent="0.3">
      <c r="A1769" s="33">
        <v>45372</v>
      </c>
      <c r="B1769" s="34" t="s">
        <v>64</v>
      </c>
      <c r="C1769" s="34" t="s">
        <v>67</v>
      </c>
      <c r="D1769" s="34" t="s">
        <v>65</v>
      </c>
      <c r="E1769" s="34" t="s">
        <v>77</v>
      </c>
      <c r="F1769" s="35">
        <v>5497</v>
      </c>
      <c r="G1769" s="35">
        <v>231</v>
      </c>
      <c r="H1769" s="36">
        <v>4.2200000000000001E-2</v>
      </c>
      <c r="I1769" s="37">
        <v>1.38</v>
      </c>
      <c r="J1769" s="37">
        <v>318.77999999999997</v>
      </c>
      <c r="K1769" s="35">
        <v>18</v>
      </c>
      <c r="L1769" s="37">
        <v>17.71</v>
      </c>
      <c r="M1769" s="37">
        <v>4467.32</v>
      </c>
      <c r="N1769" s="38">
        <v>14.01</v>
      </c>
    </row>
    <row r="1770" spans="1:14" x14ac:dyDescent="0.3">
      <c r="A1770" s="33">
        <v>45354</v>
      </c>
      <c r="B1770" s="34" t="s">
        <v>74</v>
      </c>
      <c r="C1770" s="34" t="s">
        <v>75</v>
      </c>
      <c r="D1770" s="34" t="s">
        <v>65</v>
      </c>
      <c r="E1770" s="34" t="s">
        <v>66</v>
      </c>
      <c r="F1770" s="35">
        <v>160478</v>
      </c>
      <c r="G1770" s="35">
        <v>4413</v>
      </c>
      <c r="H1770" s="36">
        <v>2.75E-2</v>
      </c>
      <c r="I1770" s="37">
        <v>1.02</v>
      </c>
      <c r="J1770" s="37">
        <v>4501.26</v>
      </c>
      <c r="K1770" s="35">
        <v>82</v>
      </c>
      <c r="L1770" s="37">
        <v>54.89</v>
      </c>
      <c r="M1770" s="37">
        <v>13362.88</v>
      </c>
      <c r="N1770" s="38">
        <v>2.97</v>
      </c>
    </row>
    <row r="1771" spans="1:14" x14ac:dyDescent="0.3">
      <c r="A1771" s="33">
        <v>45579</v>
      </c>
      <c r="B1771" s="34" t="s">
        <v>60</v>
      </c>
      <c r="C1771" s="34" t="s">
        <v>67</v>
      </c>
      <c r="D1771" s="34" t="s">
        <v>76</v>
      </c>
      <c r="E1771" s="34" t="s">
        <v>66</v>
      </c>
      <c r="F1771" s="35">
        <v>116011</v>
      </c>
      <c r="G1771" s="35">
        <v>2726</v>
      </c>
      <c r="H1771" s="36">
        <v>2.35E-2</v>
      </c>
      <c r="I1771" s="37">
        <v>1.96</v>
      </c>
      <c r="J1771" s="37">
        <v>5342.96</v>
      </c>
      <c r="K1771" s="35">
        <v>127</v>
      </c>
      <c r="L1771" s="37">
        <v>42.07</v>
      </c>
      <c r="M1771" s="37">
        <v>4188.78</v>
      </c>
      <c r="N1771" s="38">
        <v>0.78</v>
      </c>
    </row>
    <row r="1772" spans="1:14" x14ac:dyDescent="0.3">
      <c r="A1772" s="33">
        <v>45552</v>
      </c>
      <c r="B1772" s="34" t="s">
        <v>74</v>
      </c>
      <c r="C1772" s="34" t="s">
        <v>61</v>
      </c>
      <c r="D1772" s="34" t="s">
        <v>65</v>
      </c>
      <c r="E1772" s="34" t="s">
        <v>72</v>
      </c>
      <c r="F1772" s="35">
        <v>166243</v>
      </c>
      <c r="G1772" s="35">
        <v>1895</v>
      </c>
      <c r="H1772" s="36">
        <v>1.14E-2</v>
      </c>
      <c r="I1772" s="37">
        <v>0.92</v>
      </c>
      <c r="J1772" s="37">
        <v>1743.4</v>
      </c>
      <c r="K1772" s="35">
        <v>51</v>
      </c>
      <c r="L1772" s="37">
        <v>34.18</v>
      </c>
      <c r="M1772" s="37">
        <v>5887.21</v>
      </c>
      <c r="N1772" s="38">
        <v>3.38</v>
      </c>
    </row>
    <row r="1773" spans="1:14" x14ac:dyDescent="0.3">
      <c r="A1773" s="33">
        <v>45307</v>
      </c>
      <c r="B1773" s="34" t="s">
        <v>64</v>
      </c>
      <c r="C1773" s="34" t="s">
        <v>67</v>
      </c>
      <c r="D1773" s="34" t="s">
        <v>76</v>
      </c>
      <c r="E1773" s="34" t="s">
        <v>78</v>
      </c>
      <c r="F1773" s="35">
        <v>62868</v>
      </c>
      <c r="G1773" s="35">
        <v>2715</v>
      </c>
      <c r="H1773" s="36">
        <v>4.3200000000000002E-2</v>
      </c>
      <c r="I1773" s="37">
        <v>1.6</v>
      </c>
      <c r="J1773" s="37">
        <v>4344</v>
      </c>
      <c r="K1773" s="35">
        <v>180</v>
      </c>
      <c r="L1773" s="37">
        <v>24.13</v>
      </c>
      <c r="M1773" s="37">
        <v>35590.01</v>
      </c>
      <c r="N1773" s="38">
        <v>8.19</v>
      </c>
    </row>
    <row r="1774" spans="1:14" x14ac:dyDescent="0.3">
      <c r="A1774" s="33">
        <v>45641</v>
      </c>
      <c r="B1774" s="34" t="s">
        <v>60</v>
      </c>
      <c r="C1774" s="34" t="s">
        <v>67</v>
      </c>
      <c r="D1774" s="34" t="s">
        <v>65</v>
      </c>
      <c r="E1774" s="34" t="s">
        <v>63</v>
      </c>
      <c r="F1774" s="35">
        <v>132953</v>
      </c>
      <c r="G1774" s="35">
        <v>8163</v>
      </c>
      <c r="H1774" s="36">
        <v>6.1400000000000003E-2</v>
      </c>
      <c r="I1774" s="37">
        <v>2.76</v>
      </c>
      <c r="J1774" s="37">
        <v>22529.88</v>
      </c>
      <c r="K1774" s="35">
        <v>130</v>
      </c>
      <c r="L1774" s="37">
        <v>173.31</v>
      </c>
      <c r="M1774" s="37">
        <v>16572.400000000001</v>
      </c>
      <c r="N1774" s="38">
        <v>0.74</v>
      </c>
    </row>
    <row r="1775" spans="1:14" x14ac:dyDescent="0.3">
      <c r="A1775" s="33">
        <v>45362</v>
      </c>
      <c r="B1775" s="34" t="s">
        <v>74</v>
      </c>
      <c r="C1775" s="34" t="s">
        <v>75</v>
      </c>
      <c r="D1775" s="34" t="s">
        <v>68</v>
      </c>
      <c r="E1775" s="34" t="s">
        <v>63</v>
      </c>
      <c r="F1775" s="35">
        <v>107326</v>
      </c>
      <c r="G1775" s="35">
        <v>2436</v>
      </c>
      <c r="H1775" s="36">
        <v>2.2700000000000001E-2</v>
      </c>
      <c r="I1775" s="37">
        <v>0.77</v>
      </c>
      <c r="J1775" s="37">
        <v>1875.72</v>
      </c>
      <c r="K1775" s="35">
        <v>84</v>
      </c>
      <c r="L1775" s="37">
        <v>22.33</v>
      </c>
      <c r="M1775" s="37">
        <v>5936.35</v>
      </c>
      <c r="N1775" s="38">
        <v>3.16</v>
      </c>
    </row>
    <row r="1776" spans="1:14" x14ac:dyDescent="0.3">
      <c r="A1776" s="33">
        <v>45379</v>
      </c>
      <c r="B1776" s="34" t="s">
        <v>64</v>
      </c>
      <c r="C1776" s="34" t="s">
        <v>61</v>
      </c>
      <c r="D1776" s="34" t="s">
        <v>76</v>
      </c>
      <c r="E1776" s="34" t="s">
        <v>78</v>
      </c>
      <c r="F1776" s="35">
        <v>24854</v>
      </c>
      <c r="G1776" s="35">
        <v>1106</v>
      </c>
      <c r="H1776" s="36">
        <v>4.4499999999999998E-2</v>
      </c>
      <c r="I1776" s="37">
        <v>1.1399999999999999</v>
      </c>
      <c r="J1776" s="37">
        <v>1260.8399999999999</v>
      </c>
      <c r="K1776" s="35">
        <v>38</v>
      </c>
      <c r="L1776" s="37">
        <v>33.18</v>
      </c>
      <c r="M1776" s="37">
        <v>8735.32</v>
      </c>
      <c r="N1776" s="38">
        <v>6.93</v>
      </c>
    </row>
    <row r="1777" spans="1:14" x14ac:dyDescent="0.3">
      <c r="A1777" s="33">
        <v>45387</v>
      </c>
      <c r="B1777" s="34" t="s">
        <v>60</v>
      </c>
      <c r="C1777" s="34" t="s">
        <v>75</v>
      </c>
      <c r="D1777" s="34" t="s">
        <v>68</v>
      </c>
      <c r="E1777" s="34" t="s">
        <v>77</v>
      </c>
      <c r="F1777" s="35">
        <v>175949</v>
      </c>
      <c r="G1777" s="35">
        <v>7108</v>
      </c>
      <c r="H1777" s="36">
        <v>4.0399999999999998E-2</v>
      </c>
      <c r="I1777" s="37">
        <v>2.44</v>
      </c>
      <c r="J1777" s="37">
        <v>17343.52</v>
      </c>
      <c r="K1777" s="35">
        <v>75</v>
      </c>
      <c r="L1777" s="37">
        <v>231.25</v>
      </c>
      <c r="M1777" s="37">
        <v>22062.99</v>
      </c>
      <c r="N1777" s="38">
        <v>1.27</v>
      </c>
    </row>
    <row r="1778" spans="1:14" x14ac:dyDescent="0.3">
      <c r="A1778" s="33">
        <v>45653</v>
      </c>
      <c r="B1778" s="34" t="s">
        <v>64</v>
      </c>
      <c r="C1778" s="34" t="s">
        <v>70</v>
      </c>
      <c r="D1778" s="34" t="s">
        <v>65</v>
      </c>
      <c r="E1778" s="34" t="s">
        <v>69</v>
      </c>
      <c r="F1778" s="35">
        <v>131956</v>
      </c>
      <c r="G1778" s="35">
        <v>7772</v>
      </c>
      <c r="H1778" s="36">
        <v>5.8900000000000001E-2</v>
      </c>
      <c r="I1778" s="37">
        <v>0.28999999999999998</v>
      </c>
      <c r="J1778" s="37">
        <v>2253.88</v>
      </c>
      <c r="K1778" s="35">
        <v>211</v>
      </c>
      <c r="L1778" s="37">
        <v>10.68</v>
      </c>
      <c r="M1778" s="37">
        <v>23120.58</v>
      </c>
      <c r="N1778" s="38">
        <v>10.26</v>
      </c>
    </row>
    <row r="1779" spans="1:14" x14ac:dyDescent="0.3">
      <c r="A1779" s="33">
        <v>45607</v>
      </c>
      <c r="B1779" s="34" t="s">
        <v>60</v>
      </c>
      <c r="C1779" s="34" t="s">
        <v>67</v>
      </c>
      <c r="D1779" s="34" t="s">
        <v>68</v>
      </c>
      <c r="E1779" s="34" t="s">
        <v>63</v>
      </c>
      <c r="F1779" s="35">
        <v>90096</v>
      </c>
      <c r="G1779" s="35">
        <v>4784</v>
      </c>
      <c r="H1779" s="36">
        <v>5.3100000000000001E-2</v>
      </c>
      <c r="I1779" s="37">
        <v>3.17</v>
      </c>
      <c r="J1779" s="37">
        <v>15165.28</v>
      </c>
      <c r="K1779" s="35">
        <v>310</v>
      </c>
      <c r="L1779" s="37">
        <v>48.92</v>
      </c>
      <c r="M1779" s="37">
        <v>81015.37</v>
      </c>
      <c r="N1779" s="38">
        <v>5.34</v>
      </c>
    </row>
    <row r="1780" spans="1:14" x14ac:dyDescent="0.3">
      <c r="A1780" s="33">
        <v>45335</v>
      </c>
      <c r="B1780" s="34" t="s">
        <v>60</v>
      </c>
      <c r="C1780" s="34" t="s">
        <v>67</v>
      </c>
      <c r="D1780" s="34" t="s">
        <v>76</v>
      </c>
      <c r="E1780" s="34" t="s">
        <v>66</v>
      </c>
      <c r="F1780" s="35">
        <v>48766</v>
      </c>
      <c r="G1780" s="35">
        <v>1731</v>
      </c>
      <c r="H1780" s="36">
        <v>3.5499999999999997E-2</v>
      </c>
      <c r="I1780" s="37">
        <v>1.04</v>
      </c>
      <c r="J1780" s="37">
        <v>1800.24</v>
      </c>
      <c r="K1780" s="35">
        <v>44</v>
      </c>
      <c r="L1780" s="37">
        <v>40.909999999999997</v>
      </c>
      <c r="M1780" s="37">
        <v>12477.84</v>
      </c>
      <c r="N1780" s="38">
        <v>6.93</v>
      </c>
    </row>
    <row r="1781" spans="1:14" x14ac:dyDescent="0.3">
      <c r="A1781" s="33">
        <v>45406</v>
      </c>
      <c r="B1781" s="34" t="s">
        <v>74</v>
      </c>
      <c r="C1781" s="34" t="s">
        <v>75</v>
      </c>
      <c r="D1781" s="34" t="s">
        <v>62</v>
      </c>
      <c r="E1781" s="34" t="s">
        <v>69</v>
      </c>
      <c r="F1781" s="35">
        <v>68989</v>
      </c>
      <c r="G1781" s="35">
        <v>2952</v>
      </c>
      <c r="H1781" s="36">
        <v>4.2799999999999998E-2</v>
      </c>
      <c r="I1781" s="37">
        <v>1.79</v>
      </c>
      <c r="J1781" s="37">
        <v>5284.08</v>
      </c>
      <c r="K1781" s="35">
        <v>169</v>
      </c>
      <c r="L1781" s="37">
        <v>31.27</v>
      </c>
      <c r="M1781" s="37">
        <v>14776.11</v>
      </c>
      <c r="N1781" s="38">
        <v>2.8</v>
      </c>
    </row>
    <row r="1782" spans="1:14" x14ac:dyDescent="0.3">
      <c r="A1782" s="33">
        <v>45578</v>
      </c>
      <c r="B1782" s="34" t="s">
        <v>60</v>
      </c>
      <c r="C1782" s="34" t="s">
        <v>61</v>
      </c>
      <c r="D1782" s="34" t="s">
        <v>76</v>
      </c>
      <c r="E1782" s="34" t="s">
        <v>77</v>
      </c>
      <c r="F1782" s="35">
        <v>197557</v>
      </c>
      <c r="G1782" s="35">
        <v>4326</v>
      </c>
      <c r="H1782" s="36">
        <v>2.1899999999999999E-2</v>
      </c>
      <c r="I1782" s="37">
        <v>1.18</v>
      </c>
      <c r="J1782" s="37">
        <v>5104.68</v>
      </c>
      <c r="K1782" s="35">
        <v>259</v>
      </c>
      <c r="L1782" s="37">
        <v>19.71</v>
      </c>
      <c r="M1782" s="37">
        <v>39016.050000000003</v>
      </c>
      <c r="N1782" s="38">
        <v>7.64</v>
      </c>
    </row>
    <row r="1783" spans="1:14" x14ac:dyDescent="0.3">
      <c r="A1783" s="33">
        <v>45426</v>
      </c>
      <c r="B1783" s="34" t="s">
        <v>60</v>
      </c>
      <c r="C1783" s="34" t="s">
        <v>67</v>
      </c>
      <c r="D1783" s="34" t="s">
        <v>76</v>
      </c>
      <c r="E1783" s="34" t="s">
        <v>73</v>
      </c>
      <c r="F1783" s="35">
        <v>96178</v>
      </c>
      <c r="G1783" s="35">
        <v>4328</v>
      </c>
      <c r="H1783" s="36">
        <v>4.4999999999999998E-2</v>
      </c>
      <c r="I1783" s="37">
        <v>3.36</v>
      </c>
      <c r="J1783" s="37">
        <v>14542.08</v>
      </c>
      <c r="K1783" s="35">
        <v>275</v>
      </c>
      <c r="L1783" s="37">
        <v>52.88</v>
      </c>
      <c r="M1783" s="37">
        <v>37193.1</v>
      </c>
      <c r="N1783" s="38">
        <v>2.56</v>
      </c>
    </row>
    <row r="1784" spans="1:14" x14ac:dyDescent="0.3">
      <c r="A1784" s="33">
        <v>45545</v>
      </c>
      <c r="B1784" s="34" t="s">
        <v>64</v>
      </c>
      <c r="C1784" s="34" t="s">
        <v>70</v>
      </c>
      <c r="D1784" s="34" t="s">
        <v>68</v>
      </c>
      <c r="E1784" s="34" t="s">
        <v>77</v>
      </c>
      <c r="F1784" s="35">
        <v>144940</v>
      </c>
      <c r="G1784" s="35">
        <v>5333</v>
      </c>
      <c r="H1784" s="36">
        <v>3.6799999999999999E-2</v>
      </c>
      <c r="I1784" s="37">
        <v>1.31</v>
      </c>
      <c r="J1784" s="37">
        <v>6986.23</v>
      </c>
      <c r="K1784" s="35">
        <v>148</v>
      </c>
      <c r="L1784" s="37">
        <v>47.2</v>
      </c>
      <c r="M1784" s="37">
        <v>32610.09</v>
      </c>
      <c r="N1784" s="38">
        <v>4.67</v>
      </c>
    </row>
    <row r="1785" spans="1:14" x14ac:dyDescent="0.3">
      <c r="A1785" s="33">
        <v>45394</v>
      </c>
      <c r="B1785" s="34" t="s">
        <v>64</v>
      </c>
      <c r="C1785" s="34" t="s">
        <v>70</v>
      </c>
      <c r="D1785" s="34" t="s">
        <v>71</v>
      </c>
      <c r="E1785" s="34" t="s">
        <v>63</v>
      </c>
      <c r="F1785" s="35">
        <v>152322</v>
      </c>
      <c r="G1785" s="35">
        <v>13678</v>
      </c>
      <c r="H1785" s="36">
        <v>8.9800000000000005E-2</v>
      </c>
      <c r="I1785" s="37">
        <v>0.41</v>
      </c>
      <c r="J1785" s="37">
        <v>5607.98</v>
      </c>
      <c r="K1785" s="35">
        <v>813</v>
      </c>
      <c r="L1785" s="37">
        <v>6.9</v>
      </c>
      <c r="M1785" s="37">
        <v>103237.84</v>
      </c>
      <c r="N1785" s="38">
        <v>18.41</v>
      </c>
    </row>
    <row r="1786" spans="1:14" x14ac:dyDescent="0.3">
      <c r="A1786" s="33">
        <v>45526</v>
      </c>
      <c r="B1786" s="34" t="s">
        <v>60</v>
      </c>
      <c r="C1786" s="34" t="s">
        <v>75</v>
      </c>
      <c r="D1786" s="34" t="s">
        <v>65</v>
      </c>
      <c r="E1786" s="34" t="s">
        <v>78</v>
      </c>
      <c r="F1786" s="35">
        <v>89124</v>
      </c>
      <c r="G1786" s="35">
        <v>2664</v>
      </c>
      <c r="H1786" s="36">
        <v>2.9899999999999999E-2</v>
      </c>
      <c r="I1786" s="37">
        <v>1.24</v>
      </c>
      <c r="J1786" s="37">
        <v>3303.36</v>
      </c>
      <c r="K1786" s="35">
        <v>198</v>
      </c>
      <c r="L1786" s="37">
        <v>16.68</v>
      </c>
      <c r="M1786" s="37">
        <v>52262.98</v>
      </c>
      <c r="N1786" s="38">
        <v>15.82</v>
      </c>
    </row>
    <row r="1787" spans="1:14" x14ac:dyDescent="0.3">
      <c r="A1787" s="33">
        <v>45639</v>
      </c>
      <c r="B1787" s="34" t="s">
        <v>60</v>
      </c>
      <c r="C1787" s="34" t="s">
        <v>67</v>
      </c>
      <c r="D1787" s="34" t="s">
        <v>62</v>
      </c>
      <c r="E1787" s="34" t="s">
        <v>77</v>
      </c>
      <c r="F1787" s="35">
        <v>126404</v>
      </c>
      <c r="G1787" s="35">
        <v>2073</v>
      </c>
      <c r="H1787" s="36">
        <v>1.6400000000000001E-2</v>
      </c>
      <c r="I1787" s="37">
        <v>0.92</v>
      </c>
      <c r="J1787" s="37">
        <v>1907.16</v>
      </c>
      <c r="K1787" s="35">
        <v>24</v>
      </c>
      <c r="L1787" s="37">
        <v>79.47</v>
      </c>
      <c r="M1787" s="37">
        <v>3807.61</v>
      </c>
      <c r="N1787" s="38">
        <v>2</v>
      </c>
    </row>
    <row r="1788" spans="1:14" x14ac:dyDescent="0.3">
      <c r="A1788" s="33">
        <v>45616</v>
      </c>
      <c r="B1788" s="34" t="s">
        <v>74</v>
      </c>
      <c r="C1788" s="34" t="s">
        <v>61</v>
      </c>
      <c r="D1788" s="34" t="s">
        <v>68</v>
      </c>
      <c r="E1788" s="34" t="s">
        <v>73</v>
      </c>
      <c r="F1788" s="35">
        <v>84654</v>
      </c>
      <c r="G1788" s="35">
        <v>2937</v>
      </c>
      <c r="H1788" s="36">
        <v>3.4700000000000002E-2</v>
      </c>
      <c r="I1788" s="37">
        <v>1.84</v>
      </c>
      <c r="J1788" s="37">
        <v>5404.08</v>
      </c>
      <c r="K1788" s="35">
        <v>104</v>
      </c>
      <c r="L1788" s="37">
        <v>51.96</v>
      </c>
      <c r="M1788" s="37">
        <v>30747.279999999999</v>
      </c>
      <c r="N1788" s="38">
        <v>5.69</v>
      </c>
    </row>
    <row r="1789" spans="1:14" x14ac:dyDescent="0.3">
      <c r="A1789" s="33">
        <v>45463</v>
      </c>
      <c r="B1789" s="34" t="s">
        <v>74</v>
      </c>
      <c r="C1789" s="34" t="s">
        <v>67</v>
      </c>
      <c r="D1789" s="34" t="s">
        <v>65</v>
      </c>
      <c r="E1789" s="34" t="s">
        <v>72</v>
      </c>
      <c r="F1789" s="35">
        <v>95987</v>
      </c>
      <c r="G1789" s="35">
        <v>1919</v>
      </c>
      <c r="H1789" s="36">
        <v>0.02</v>
      </c>
      <c r="I1789" s="37">
        <v>1.71</v>
      </c>
      <c r="J1789" s="37">
        <v>3281.49</v>
      </c>
      <c r="K1789" s="35">
        <v>124</v>
      </c>
      <c r="L1789" s="37">
        <v>26.46</v>
      </c>
      <c r="M1789" s="37">
        <v>28533.79</v>
      </c>
      <c r="N1789" s="38">
        <v>8.6999999999999993</v>
      </c>
    </row>
    <row r="1790" spans="1:14" x14ac:dyDescent="0.3">
      <c r="A1790" s="33">
        <v>45444</v>
      </c>
      <c r="B1790" s="34" t="s">
        <v>60</v>
      </c>
      <c r="C1790" s="34" t="s">
        <v>70</v>
      </c>
      <c r="D1790" s="34" t="s">
        <v>71</v>
      </c>
      <c r="E1790" s="34" t="s">
        <v>63</v>
      </c>
      <c r="F1790" s="35">
        <v>154088</v>
      </c>
      <c r="G1790" s="35">
        <v>9106</v>
      </c>
      <c r="H1790" s="36">
        <v>5.91E-2</v>
      </c>
      <c r="I1790" s="37">
        <v>3.24</v>
      </c>
      <c r="J1790" s="37">
        <v>29503.439999999999</v>
      </c>
      <c r="K1790" s="35">
        <v>294</v>
      </c>
      <c r="L1790" s="37">
        <v>100.35</v>
      </c>
      <c r="M1790" s="37">
        <v>42565.78</v>
      </c>
      <c r="N1790" s="38">
        <v>1.44</v>
      </c>
    </row>
    <row r="1791" spans="1:14" x14ac:dyDescent="0.3">
      <c r="A1791" s="33">
        <v>45351</v>
      </c>
      <c r="B1791" s="34" t="s">
        <v>64</v>
      </c>
      <c r="C1791" s="34" t="s">
        <v>61</v>
      </c>
      <c r="D1791" s="34" t="s">
        <v>65</v>
      </c>
      <c r="E1791" s="34" t="s">
        <v>78</v>
      </c>
      <c r="F1791" s="35">
        <v>71883</v>
      </c>
      <c r="G1791" s="35">
        <v>2077</v>
      </c>
      <c r="H1791" s="36">
        <v>2.8899999999999999E-2</v>
      </c>
      <c r="I1791" s="37">
        <v>1.71</v>
      </c>
      <c r="J1791" s="37">
        <v>3551.67</v>
      </c>
      <c r="K1791" s="35">
        <v>87</v>
      </c>
      <c r="L1791" s="37">
        <v>40.82</v>
      </c>
      <c r="M1791" s="37">
        <v>12811.32</v>
      </c>
      <c r="N1791" s="38">
        <v>3.61</v>
      </c>
    </row>
    <row r="1792" spans="1:14" x14ac:dyDescent="0.3">
      <c r="A1792" s="33">
        <v>45495</v>
      </c>
      <c r="B1792" s="34" t="s">
        <v>74</v>
      </c>
      <c r="C1792" s="34" t="s">
        <v>70</v>
      </c>
      <c r="D1792" s="34" t="s">
        <v>76</v>
      </c>
      <c r="E1792" s="34" t="s">
        <v>63</v>
      </c>
      <c r="F1792" s="35">
        <v>133716</v>
      </c>
      <c r="G1792" s="35">
        <v>1617</v>
      </c>
      <c r="H1792" s="36">
        <v>1.21E-2</v>
      </c>
      <c r="I1792" s="37">
        <v>0.85</v>
      </c>
      <c r="J1792" s="37">
        <v>1374.45</v>
      </c>
      <c r="K1792" s="35">
        <v>48</v>
      </c>
      <c r="L1792" s="37">
        <v>28.63</v>
      </c>
      <c r="M1792" s="37">
        <v>3570.09</v>
      </c>
      <c r="N1792" s="38">
        <v>2.6</v>
      </c>
    </row>
    <row r="1793" spans="1:14" x14ac:dyDescent="0.3">
      <c r="A1793" s="33">
        <v>45652</v>
      </c>
      <c r="B1793" s="34" t="s">
        <v>64</v>
      </c>
      <c r="C1793" s="34" t="s">
        <v>75</v>
      </c>
      <c r="D1793" s="34" t="s">
        <v>62</v>
      </c>
      <c r="E1793" s="34" t="s">
        <v>72</v>
      </c>
      <c r="F1793" s="35">
        <v>43319</v>
      </c>
      <c r="G1793" s="35">
        <v>2534</v>
      </c>
      <c r="H1793" s="36">
        <v>5.8500000000000003E-2</v>
      </c>
      <c r="I1793" s="37">
        <v>1.66</v>
      </c>
      <c r="J1793" s="37">
        <v>4206.4399999999996</v>
      </c>
      <c r="K1793" s="35">
        <v>111</v>
      </c>
      <c r="L1793" s="37">
        <v>37.9</v>
      </c>
      <c r="M1793" s="37">
        <v>10456.870000000001</v>
      </c>
      <c r="N1793" s="38">
        <v>2.4900000000000002</v>
      </c>
    </row>
    <row r="1794" spans="1:14" x14ac:dyDescent="0.3">
      <c r="A1794" s="33">
        <v>45538</v>
      </c>
      <c r="B1794" s="34" t="s">
        <v>60</v>
      </c>
      <c r="C1794" s="34" t="s">
        <v>61</v>
      </c>
      <c r="D1794" s="34" t="s">
        <v>76</v>
      </c>
      <c r="E1794" s="34" t="s">
        <v>77</v>
      </c>
      <c r="F1794" s="35">
        <v>144911</v>
      </c>
      <c r="G1794" s="35">
        <v>7897</v>
      </c>
      <c r="H1794" s="36">
        <v>5.45E-2</v>
      </c>
      <c r="I1794" s="37">
        <v>1.63</v>
      </c>
      <c r="J1794" s="37">
        <v>12872.11</v>
      </c>
      <c r="K1794" s="35">
        <v>555</v>
      </c>
      <c r="L1794" s="37">
        <v>23.19</v>
      </c>
      <c r="M1794" s="37">
        <v>21004.5</v>
      </c>
      <c r="N1794" s="38">
        <v>1.63</v>
      </c>
    </row>
    <row r="1795" spans="1:14" x14ac:dyDescent="0.3">
      <c r="A1795" s="33">
        <v>45587</v>
      </c>
      <c r="B1795" s="34" t="s">
        <v>60</v>
      </c>
      <c r="C1795" s="34" t="s">
        <v>61</v>
      </c>
      <c r="D1795" s="34" t="s">
        <v>62</v>
      </c>
      <c r="E1795" s="34" t="s">
        <v>63</v>
      </c>
      <c r="F1795" s="35">
        <v>180634</v>
      </c>
      <c r="G1795" s="35">
        <v>7821</v>
      </c>
      <c r="H1795" s="36">
        <v>4.3299999999999998E-2</v>
      </c>
      <c r="I1795" s="37">
        <v>2.21</v>
      </c>
      <c r="J1795" s="37">
        <v>17284.41</v>
      </c>
      <c r="K1795" s="35">
        <v>581</v>
      </c>
      <c r="L1795" s="37">
        <v>29.75</v>
      </c>
      <c r="M1795" s="37">
        <v>136556.31</v>
      </c>
      <c r="N1795" s="38">
        <v>7.9</v>
      </c>
    </row>
    <row r="1796" spans="1:14" x14ac:dyDescent="0.3">
      <c r="A1796" s="33">
        <v>45325</v>
      </c>
      <c r="B1796" s="34" t="s">
        <v>74</v>
      </c>
      <c r="C1796" s="34" t="s">
        <v>75</v>
      </c>
      <c r="D1796" s="34" t="s">
        <v>65</v>
      </c>
      <c r="E1796" s="34" t="s">
        <v>78</v>
      </c>
      <c r="F1796" s="35">
        <v>76095</v>
      </c>
      <c r="G1796" s="35">
        <v>2031</v>
      </c>
      <c r="H1796" s="36">
        <v>2.6700000000000002E-2</v>
      </c>
      <c r="I1796" s="37">
        <v>1.49</v>
      </c>
      <c r="J1796" s="37">
        <v>3026.19</v>
      </c>
      <c r="K1796" s="35">
        <v>135</v>
      </c>
      <c r="L1796" s="37">
        <v>22.42</v>
      </c>
      <c r="M1796" s="37">
        <v>33172.870000000003</v>
      </c>
      <c r="N1796" s="38">
        <v>10.96</v>
      </c>
    </row>
    <row r="1797" spans="1:14" x14ac:dyDescent="0.3">
      <c r="A1797" s="33">
        <v>45484</v>
      </c>
      <c r="B1797" s="34" t="s">
        <v>64</v>
      </c>
      <c r="C1797" s="34" t="s">
        <v>67</v>
      </c>
      <c r="D1797" s="34" t="s">
        <v>76</v>
      </c>
      <c r="E1797" s="34" t="s">
        <v>72</v>
      </c>
      <c r="F1797" s="35">
        <v>180128</v>
      </c>
      <c r="G1797" s="35">
        <v>10555</v>
      </c>
      <c r="H1797" s="36">
        <v>5.8599999999999999E-2</v>
      </c>
      <c r="I1797" s="37">
        <v>0.84</v>
      </c>
      <c r="J1797" s="37">
        <v>8866.2000000000007</v>
      </c>
      <c r="K1797" s="35">
        <v>707</v>
      </c>
      <c r="L1797" s="37">
        <v>12.54</v>
      </c>
      <c r="M1797" s="37">
        <v>200566.9</v>
      </c>
      <c r="N1797" s="38">
        <v>22.62</v>
      </c>
    </row>
    <row r="1798" spans="1:14" x14ac:dyDescent="0.3">
      <c r="A1798" s="33">
        <v>45466</v>
      </c>
      <c r="B1798" s="34" t="s">
        <v>74</v>
      </c>
      <c r="C1798" s="34" t="s">
        <v>75</v>
      </c>
      <c r="D1798" s="34" t="s">
        <v>65</v>
      </c>
      <c r="E1798" s="34" t="s">
        <v>78</v>
      </c>
      <c r="F1798" s="35">
        <v>169849</v>
      </c>
      <c r="G1798" s="35">
        <v>5927</v>
      </c>
      <c r="H1798" s="36">
        <v>3.49E-2</v>
      </c>
      <c r="I1798" s="37">
        <v>0.94</v>
      </c>
      <c r="J1798" s="37">
        <v>5571.38</v>
      </c>
      <c r="K1798" s="35">
        <v>437</v>
      </c>
      <c r="L1798" s="37">
        <v>12.75</v>
      </c>
      <c r="M1798" s="37">
        <v>105321.92</v>
      </c>
      <c r="N1798" s="38">
        <v>18.899999999999999</v>
      </c>
    </row>
    <row r="1799" spans="1:14" x14ac:dyDescent="0.3">
      <c r="A1799" s="33">
        <v>45352</v>
      </c>
      <c r="B1799" s="34" t="s">
        <v>74</v>
      </c>
      <c r="C1799" s="34" t="s">
        <v>67</v>
      </c>
      <c r="D1799" s="34" t="s">
        <v>62</v>
      </c>
      <c r="E1799" s="34" t="s">
        <v>78</v>
      </c>
      <c r="F1799" s="35">
        <v>122974</v>
      </c>
      <c r="G1799" s="35">
        <v>2939</v>
      </c>
      <c r="H1799" s="36">
        <v>2.3900000000000001E-2</v>
      </c>
      <c r="I1799" s="37">
        <v>1.85</v>
      </c>
      <c r="J1799" s="37">
        <v>5437.15</v>
      </c>
      <c r="K1799" s="35">
        <v>91</v>
      </c>
      <c r="L1799" s="37">
        <v>59.75</v>
      </c>
      <c r="M1799" s="37">
        <v>26004.98</v>
      </c>
      <c r="N1799" s="38">
        <v>4.78</v>
      </c>
    </row>
    <row r="1800" spans="1:14" x14ac:dyDescent="0.3">
      <c r="A1800" s="33">
        <v>45506</v>
      </c>
      <c r="B1800" s="34" t="s">
        <v>60</v>
      </c>
      <c r="C1800" s="34" t="s">
        <v>61</v>
      </c>
      <c r="D1800" s="34" t="s">
        <v>76</v>
      </c>
      <c r="E1800" s="34" t="s">
        <v>69</v>
      </c>
      <c r="F1800" s="35">
        <v>28553</v>
      </c>
      <c r="G1800" s="35">
        <v>850</v>
      </c>
      <c r="H1800" s="36">
        <v>2.98E-2</v>
      </c>
      <c r="I1800" s="37">
        <v>2.06</v>
      </c>
      <c r="J1800" s="37">
        <v>1751</v>
      </c>
      <c r="K1800" s="35">
        <v>51</v>
      </c>
      <c r="L1800" s="37">
        <v>34.33</v>
      </c>
      <c r="M1800" s="37">
        <v>13010.72</v>
      </c>
      <c r="N1800" s="38">
        <v>7.43</v>
      </c>
    </row>
    <row r="1801" spans="1:14" x14ac:dyDescent="0.3">
      <c r="A1801" s="33">
        <v>45320</v>
      </c>
      <c r="B1801" s="34" t="s">
        <v>74</v>
      </c>
      <c r="C1801" s="34" t="s">
        <v>75</v>
      </c>
      <c r="D1801" s="34" t="s">
        <v>65</v>
      </c>
      <c r="E1801" s="34" t="s">
        <v>66</v>
      </c>
      <c r="F1801" s="35">
        <v>77447</v>
      </c>
      <c r="G1801" s="35">
        <v>906</v>
      </c>
      <c r="H1801" s="36">
        <v>1.17E-2</v>
      </c>
      <c r="I1801" s="37">
        <v>1.1499999999999999</v>
      </c>
      <c r="J1801" s="37">
        <v>1041.9000000000001</v>
      </c>
      <c r="K1801" s="35">
        <v>29</v>
      </c>
      <c r="L1801" s="37">
        <v>35.93</v>
      </c>
      <c r="M1801" s="37">
        <v>8284.1299999999992</v>
      </c>
      <c r="N1801" s="38">
        <v>7.95</v>
      </c>
    </row>
  </sheetData>
  <autoFilter ref="A1:N1801" xr:uid="{00000000-0009-0000-0000-000001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896AB"/>
  </sheetPr>
  <dimension ref="A1:S514"/>
  <sheetViews>
    <sheetView zoomScaleNormal="100" workbookViewId="0">
      <pane xSplit="1" ySplit="1" topLeftCell="B471" activePane="bottomRight" state="frozen"/>
      <selection pane="topRight" activeCell="B1" sqref="B1"/>
      <selection pane="bottomLeft" activeCell="A2" sqref="A2"/>
      <selection pane="bottomRight" activeCell="B15" sqref="B15"/>
    </sheetView>
  </sheetViews>
  <sheetFormatPr defaultColWidth="8.6640625" defaultRowHeight="14.4" x14ac:dyDescent="0.3"/>
  <cols>
    <col min="1" max="1" width="26" customWidth="1"/>
    <col min="2" max="19" width="16" customWidth="1"/>
  </cols>
  <sheetData>
    <row r="1" spans="1:19" ht="15.6" x14ac:dyDescent="0.3">
      <c r="A1" s="39" t="s">
        <v>79</v>
      </c>
    </row>
    <row r="2" spans="1:19" x14ac:dyDescent="0.3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</row>
    <row r="3" spans="1:19" x14ac:dyDescent="0.3">
      <c r="A3" s="40" t="s">
        <v>80</v>
      </c>
      <c r="B3" s="34" t="str">
        <f>Dashboard!$F$14</f>
        <v>All Periods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</row>
    <row r="4" spans="1:19" x14ac:dyDescent="0.3">
      <c r="A4" s="40" t="s">
        <v>41</v>
      </c>
      <c r="B4" s="34" t="str">
        <f>Dashboard!$M$14</f>
        <v>All Platforms</v>
      </c>
      <c r="C4" s="34" t="str">
        <f>IF($B4="All Platforms","*",$B4)</f>
        <v>*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</row>
    <row r="5" spans="1:19" x14ac:dyDescent="0.3">
      <c r="A5" s="40" t="s">
        <v>43</v>
      </c>
      <c r="B5" s="34" t="str">
        <f>Dashboard!$T$14</f>
        <v>All Industries</v>
      </c>
      <c r="C5" s="34" t="str">
        <f>IF($B5="All Industries","*",$B5)</f>
        <v>*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</row>
    <row r="6" spans="1:19" x14ac:dyDescent="0.3">
      <c r="A6" s="40" t="s">
        <v>44</v>
      </c>
      <c r="B6" s="34" t="str">
        <f>Dashboard!$AA$14</f>
        <v>All Countries</v>
      </c>
      <c r="C6" s="34" t="str">
        <f>IF($B6="All Countries","*",$B6)</f>
        <v>*</v>
      </c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</row>
    <row r="7" spans="1:19" x14ac:dyDescent="0.3">
      <c r="A7" s="40" t="s">
        <v>42</v>
      </c>
      <c r="B7" s="34" t="str">
        <f>Dashboard!$AH$14</f>
        <v>All Campaign Types</v>
      </c>
      <c r="C7" s="34" t="str">
        <f>IF($B7="All Campaign Types","*",$B7)</f>
        <v>*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</row>
    <row r="8" spans="1:19" x14ac:dyDescent="0.3">
      <c r="A8" s="34"/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</row>
    <row r="9" spans="1:19" x14ac:dyDescent="0.3">
      <c r="A9" s="40" t="s">
        <v>81</v>
      </c>
      <c r="B9" s="33">
        <f>INDEX(Lists!$B$4:$B$22,MATCH($B$3,Lists!$A$4:$A$22,0))</f>
        <v>45292</v>
      </c>
      <c r="C9" s="34"/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</row>
    <row r="10" spans="1:19" x14ac:dyDescent="0.3">
      <c r="A10" s="40" t="s">
        <v>82</v>
      </c>
      <c r="B10" s="33">
        <f>INDEX(Lists!$C$4:$C$22,MATCH($B$3,Lists!$A$4:$A$22,0))</f>
        <v>45657</v>
      </c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</row>
    <row r="11" spans="1:19" x14ac:dyDescent="0.3">
      <c r="A11" s="40" t="s">
        <v>83</v>
      </c>
      <c r="B11" s="34">
        <f>(YEAR(B10)-YEAR(B9))*12+MONTH(B10)-MONTH(B9)+1</f>
        <v>12</v>
      </c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</row>
    <row r="12" spans="1:19" x14ac:dyDescent="0.3">
      <c r="A12" s="40" t="s">
        <v>84</v>
      </c>
      <c r="B12" s="33">
        <f>IF($B$3="All Periods",DATE(Lists!$B$1,7,1),$B$9)</f>
        <v>45474</v>
      </c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</row>
    <row r="13" spans="1:19" x14ac:dyDescent="0.3">
      <c r="A13" s="40" t="s">
        <v>85</v>
      </c>
      <c r="B13" s="33">
        <f>IF($B$3="All Periods",DATE(Lists!$B$1,12,31),$B$10)</f>
        <v>45657</v>
      </c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</row>
    <row r="14" spans="1:19" x14ac:dyDescent="0.3">
      <c r="A14" s="40" t="s">
        <v>86</v>
      </c>
      <c r="B14" s="33">
        <f>IF($B$3="All Periods",DATE(Lists!$B$1,1,1),EDATE($B$9,-$B$11))</f>
        <v>45292</v>
      </c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</row>
    <row r="15" spans="1:19" x14ac:dyDescent="0.3">
      <c r="A15" s="40" t="s">
        <v>87</v>
      </c>
      <c r="B15" s="33">
        <f>IF($B$3="All Periods",DATE(Lists!$B$1,6,30),$B$9-1)</f>
        <v>45473</v>
      </c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</row>
    <row r="16" spans="1:19" x14ac:dyDescent="0.3">
      <c r="A16" s="40" t="s">
        <v>88</v>
      </c>
      <c r="B16" s="34">
        <f>IF($B$3="All Periods",1,IF($B$14&gt;=DATE(Lists!$B$1,1,1),1,0))</f>
        <v>1</v>
      </c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</row>
    <row r="17" spans="1:19" x14ac:dyDescent="0.3">
      <c r="A17" s="40" t="s">
        <v>89</v>
      </c>
      <c r="B17" s="34" t="str">
        <f>IF($B$3="All Periods","H2 vs H1",IF($B$16=1,"vs previous period","no prior period"))</f>
        <v>H2 vs H1</v>
      </c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</row>
    <row r="18" spans="1:19" x14ac:dyDescent="0.3">
      <c r="A18" s="40" t="s">
        <v>90</v>
      </c>
      <c r="B18" s="34" t="str">
        <f>INDEX(Lists!$M$4:$M$15,MONTH(B9))&amp;" "&amp;DAY(B9)&amp;", "&amp;YEAR(B9)&amp;" - "&amp;INDEX(Lists!$M$4:$M$15,MONTH(B10))&amp;" "&amp;DAY(B10)&amp;", "&amp;YEAR(B10)</f>
        <v>Jan 1, 2024 - Dec 31, 2024</v>
      </c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</row>
    <row r="19" spans="1:19" x14ac:dyDescent="0.3">
      <c r="A19" s="34"/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</row>
    <row r="20" spans="1:19" x14ac:dyDescent="0.3">
      <c r="A20" s="41" t="s">
        <v>91</v>
      </c>
      <c r="B20" s="41" t="s">
        <v>92</v>
      </c>
      <c r="C20" s="41" t="s">
        <v>93</v>
      </c>
      <c r="D20" s="41" t="s">
        <v>94</v>
      </c>
      <c r="E20" s="41" t="s">
        <v>95</v>
      </c>
      <c r="F20" s="41" t="s">
        <v>96</v>
      </c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</row>
    <row r="21" spans="1:19" x14ac:dyDescent="0.3">
      <c r="A21" s="34" t="s">
        <v>45</v>
      </c>
      <c r="B21" s="42">
        <f>SUMIFS(d_spend,d_date,"&gt;="&amp;$B$9,d_date,"&lt;="&amp;$B$10,d_plat,$C$4,d_type,$C$7,d_ind,$C$5,d_ctry,$C$6)</f>
        <v>11108749.090000002</v>
      </c>
      <c r="C21" s="42">
        <f>SUMIFS(d_spend,d_date,"&gt;="&amp;$B$12,d_date,"&lt;="&amp;$B$13,d_plat,$C$4,d_type,$C$7,d_ind,$C$5,d_ctry,$C$6)</f>
        <v>5476097.4699999988</v>
      </c>
      <c r="D21" s="42">
        <f>SUMIFS(d_spend,d_date,"&gt;="&amp;$B$14,d_date,"&lt;="&amp;$B$15,d_plat,$C$4,d_type,$C$7,d_ind,$C$5,d_ctry,$C$6)</f>
        <v>5632651.6200000029</v>
      </c>
      <c r="E21" s="43">
        <f t="shared" ref="E21:E30" si="0">IF($B$16=1,IF(D21=0,"n/a",C21/D21-1),"n/a")</f>
        <v>-2.7794040988461499E-2</v>
      </c>
      <c r="F21" s="34">
        <v>0</v>
      </c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</row>
    <row r="22" spans="1:19" x14ac:dyDescent="0.3">
      <c r="A22" s="34" t="s">
        <v>47</v>
      </c>
      <c r="B22" s="42">
        <f>SUMIFS(d_rev,d_date,"&gt;="&amp;$B$9,d_date,"&lt;="&amp;$B$10,d_plat,$C$4,d_type,$C$7,d_ind,$C$5,d_ctry,$C$6)</f>
        <v>54183330.810000017</v>
      </c>
      <c r="C22" s="42">
        <f>SUMIFS(d_rev,d_date,"&gt;="&amp;$B$12,d_date,"&lt;="&amp;$B$13,d_plat,$C$4,d_type,$C$7,d_ind,$C$5,d_ctry,$C$6)</f>
        <v>27060060.260000002</v>
      </c>
      <c r="D22" s="42">
        <f>SUMIFS(d_rev,d_date,"&gt;="&amp;$B$14,d_date,"&lt;="&amp;$B$15,d_plat,$C$4,d_type,$C$7,d_ind,$C$5,d_ctry,$C$6)</f>
        <v>27123270.550000012</v>
      </c>
      <c r="E22" s="43">
        <f t="shared" si="0"/>
        <v>-2.3304818599765298E-3</v>
      </c>
      <c r="F22" s="34">
        <f>IF(ISNUMBER(E22),IF(E22&gt;=0,1,-1),0)</f>
        <v>-1</v>
      </c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</row>
    <row r="23" spans="1:19" x14ac:dyDescent="0.3">
      <c r="A23" s="34" t="s">
        <v>46</v>
      </c>
      <c r="B23" s="35">
        <f>SUMIFS(d_conv,d_date,"&gt;="&amp;$B$9,d_date,"&lt;="&amp;$B$10,d_plat,$C$4,d_type,$C$7,d_ind,$C$5,d_ctry,$C$6)</f>
        <v>326812</v>
      </c>
      <c r="C23" s="35">
        <f>SUMIFS(d_conv,d_date,"&gt;="&amp;$B$12,d_date,"&lt;="&amp;$B$13,d_plat,$C$4,d_type,$C$7,d_ind,$C$5,d_ctry,$C$6)</f>
        <v>162842</v>
      </c>
      <c r="D23" s="35">
        <f>SUMIFS(d_conv,d_date,"&gt;="&amp;$B$14,d_date,"&lt;="&amp;$B$15,d_plat,$C$4,d_type,$C$7,d_ind,$C$5,d_ctry,$C$6)</f>
        <v>163970</v>
      </c>
      <c r="E23" s="43">
        <f t="shared" si="0"/>
        <v>-6.8793071903396896E-3</v>
      </c>
      <c r="F23" s="34">
        <f>IF(ISNUMBER(E23),IF(E23&gt;=0,1,-1),0)</f>
        <v>-1</v>
      </c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</row>
    <row r="24" spans="1:19" x14ac:dyDescent="0.3">
      <c r="A24" s="34" t="s">
        <v>97</v>
      </c>
      <c r="B24" s="35">
        <f>SUMIFS(d_imp,d_date,"&gt;="&amp;$B$9,d_date,"&lt;="&amp;$B$10,d_plat,$C$4,d_type,$C$7,d_ind,$C$5,d_ctry,$C$6)</f>
        <v>185254234</v>
      </c>
      <c r="C24" s="35">
        <f>SUMIFS(d_imp,d_date,"&gt;="&amp;$B$12,d_date,"&lt;="&amp;$B$13,d_plat,$C$4,d_type,$C$7,d_ind,$C$5,d_ctry,$C$6)</f>
        <v>90938672</v>
      </c>
      <c r="D24" s="35">
        <f>SUMIFS(d_imp,d_date,"&gt;="&amp;$B$14,d_date,"&lt;="&amp;$B$15,d_plat,$C$4,d_type,$C$7,d_ind,$C$5,d_ctry,$C$6)</f>
        <v>94315562</v>
      </c>
      <c r="E24" s="43">
        <f t="shared" si="0"/>
        <v>-3.5804165594644943E-2</v>
      </c>
      <c r="F24" s="34">
        <f>IF(ISNUMBER(E24),IF(E24&gt;=0,1,-1),0)</f>
        <v>-1</v>
      </c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</row>
    <row r="25" spans="1:19" x14ac:dyDescent="0.3">
      <c r="A25" s="34" t="s">
        <v>98</v>
      </c>
      <c r="B25" s="35">
        <f>SUMIFS(d_clk,d_date,"&gt;="&amp;$B$9,d_date,"&lt;="&amp;$B$10,d_plat,$C$4,d_type,$C$7,d_ind,$C$5,d_ctry,$C$6)</f>
        <v>7132816</v>
      </c>
      <c r="C25" s="35">
        <f>SUMIFS(d_clk,d_date,"&gt;="&amp;$B$12,d_date,"&lt;="&amp;$B$13,d_plat,$C$4,d_type,$C$7,d_ind,$C$5,d_ctry,$C$6)</f>
        <v>3540871</v>
      </c>
      <c r="D25" s="35">
        <f>SUMIFS(d_clk,d_date,"&gt;="&amp;$B$14,d_date,"&lt;="&amp;$B$15,d_plat,$C$4,d_type,$C$7,d_ind,$C$5,d_ctry,$C$6)</f>
        <v>3591945</v>
      </c>
      <c r="E25" s="43">
        <f t="shared" si="0"/>
        <v>-1.4219037318221717E-2</v>
      </c>
      <c r="F25" s="34">
        <f>IF(ISNUMBER(E25),IF(E25&gt;=0,1,-1),0)</f>
        <v>-1</v>
      </c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</row>
    <row r="26" spans="1:19" x14ac:dyDescent="0.3">
      <c r="A26" s="34" t="s">
        <v>48</v>
      </c>
      <c r="B26" s="38">
        <f>IFERROR(B22/B21,0)</f>
        <v>4.8775366489081451</v>
      </c>
      <c r="C26" s="38">
        <f>IFERROR(C22/C21,0)</f>
        <v>4.94148623326093</v>
      </c>
      <c r="D26" s="38">
        <f>IFERROR(D22/D21,0)</f>
        <v>4.8153644819240569</v>
      </c>
      <c r="E26" s="43">
        <f t="shared" si="0"/>
        <v>2.6191527517867019E-2</v>
      </c>
      <c r="F26" s="34">
        <f>IF(ISNUMBER(E26),IF(E26&gt;=0,1,-1),0)</f>
        <v>1</v>
      </c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</row>
    <row r="27" spans="1:19" x14ac:dyDescent="0.3">
      <c r="A27" s="34" t="s">
        <v>49</v>
      </c>
      <c r="B27" s="37">
        <f>IFERROR(B21/B23,0)</f>
        <v>33.991252126604905</v>
      </c>
      <c r="C27" s="37">
        <f>IFERROR(C21/C23,0)</f>
        <v>33.628286744206029</v>
      </c>
      <c r="D27" s="37">
        <f>IFERROR(D21/D23,0)</f>
        <v>34.351720558638796</v>
      </c>
      <c r="E27" s="43">
        <f t="shared" si="0"/>
        <v>-2.1059609319942441E-2</v>
      </c>
      <c r="F27" s="34">
        <f>IF(ISNUMBER(E27),IF(E27&lt;=0,1,-1),0)</f>
        <v>1</v>
      </c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</row>
    <row r="28" spans="1:19" x14ac:dyDescent="0.3">
      <c r="A28" s="34" t="s">
        <v>15</v>
      </c>
      <c r="B28" s="36">
        <f>IFERROR(B25/B24,0)</f>
        <v>3.8502850088705666E-2</v>
      </c>
      <c r="C28" s="36">
        <f>IFERROR(C25/C24,0)</f>
        <v>3.8936911240577604E-2</v>
      </c>
      <c r="D28" s="36">
        <f>IFERROR(D25/D24,0)</f>
        <v>3.8084330134193552E-2</v>
      </c>
      <c r="E28" s="43">
        <f t="shared" si="0"/>
        <v>2.2386664105155774E-2</v>
      </c>
      <c r="F28" s="34">
        <f>IF(ISNUMBER(E28),IF(E28&gt;=0,1,-1),0)</f>
        <v>1</v>
      </c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</row>
    <row r="29" spans="1:19" x14ac:dyDescent="0.3">
      <c r="A29" s="34" t="s">
        <v>16</v>
      </c>
      <c r="B29" s="37">
        <f>IFERROR(B21/B25,0)</f>
        <v>1.5574142232184318</v>
      </c>
      <c r="C29" s="37">
        <f>IFERROR(C21/C25,0)</f>
        <v>1.5465396706064691</v>
      </c>
      <c r="D29" s="37">
        <f>IFERROR(D21/D25,0)</f>
        <v>1.568134150160986</v>
      </c>
      <c r="E29" s="43">
        <f t="shared" si="0"/>
        <v>-1.3770811350738099E-2</v>
      </c>
      <c r="F29" s="34">
        <f>IF(ISNUMBER(E29),IF(E29&gt;=0,1,-1),0)</f>
        <v>-1</v>
      </c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</row>
    <row r="30" spans="1:19" x14ac:dyDescent="0.3">
      <c r="A30" s="34" t="s">
        <v>99</v>
      </c>
      <c r="B30" s="36">
        <f>IFERROR(B23/B25,0)</f>
        <v>4.5818089237125985E-2</v>
      </c>
      <c r="C30" s="36">
        <f>IFERROR(C23/C25,0)</f>
        <v>4.5989249537754975E-2</v>
      </c>
      <c r="D30" s="36">
        <f>IFERROR(D23/D25,0)</f>
        <v>4.5649362671199033E-2</v>
      </c>
      <c r="E30" s="43">
        <f t="shared" si="0"/>
        <v>7.445599383370638E-3</v>
      </c>
      <c r="F30" s="34">
        <f>IF(ISNUMBER(E30),IF(E30&gt;=0,1,-1),0)</f>
        <v>1</v>
      </c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</row>
    <row r="31" spans="1:19" x14ac:dyDescent="0.3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</row>
    <row r="32" spans="1:19" x14ac:dyDescent="0.3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</row>
    <row r="33" spans="1:19" x14ac:dyDescent="0.3">
      <c r="A33" s="41" t="s">
        <v>41</v>
      </c>
      <c r="B33" s="41" t="s">
        <v>45</v>
      </c>
      <c r="C33" s="41" t="s">
        <v>47</v>
      </c>
      <c r="D33" s="41" t="s">
        <v>46</v>
      </c>
      <c r="E33" s="41" t="s">
        <v>48</v>
      </c>
      <c r="F33" s="41" t="s">
        <v>49</v>
      </c>
      <c r="G33" s="41" t="s">
        <v>100</v>
      </c>
      <c r="H33" s="41" t="s">
        <v>101</v>
      </c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</row>
    <row r="34" spans="1:19" x14ac:dyDescent="0.3">
      <c r="A34" s="34" t="s">
        <v>60</v>
      </c>
      <c r="B34" s="42">
        <f>SUMIFS(d_spend,d_date,"&gt;="&amp;$B$9,d_date,"&lt;="&amp;$B$10,d_plat,$C$4,d_type,$C$7,d_ind,$C$5,d_ctry,$C$6,d_plat,$A34)</f>
        <v>6349268.910000002</v>
      </c>
      <c r="C34" s="42">
        <f>SUMIFS(d_rev,d_date,"&gt;="&amp;$B$9,d_date,"&lt;="&amp;$B$10,d_plat,$C$4,d_type,$C$7,d_ind,$C$5,d_ctry,$C$6,d_plat,$A34)</f>
        <v>22033744.950000033</v>
      </c>
      <c r="D34" s="35">
        <f>SUMIFS(d_conv,d_date,"&gt;="&amp;$B$9,d_date,"&lt;="&amp;$B$10,d_plat,$C$4,d_type,$C$7,d_ind,$C$5,d_ctry,$C$6,d_plat,$A34)</f>
        <v>131098</v>
      </c>
      <c r="E34" s="44">
        <f>IFERROR(C34/B34,0)</f>
        <v>3.4702806358220579</v>
      </c>
      <c r="F34" s="37">
        <f>IFERROR(B34/D34,0)</f>
        <v>48.431470426703704</v>
      </c>
      <c r="G34" s="44">
        <f>IF(B34&gt;0,E34,-1)</f>
        <v>3.4702806358220579</v>
      </c>
      <c r="H34" s="44">
        <f>IF(B34&gt;0,E34,9999)</f>
        <v>3.4702806358220579</v>
      </c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</row>
    <row r="35" spans="1:19" x14ac:dyDescent="0.3">
      <c r="A35" s="34" t="s">
        <v>74</v>
      </c>
      <c r="B35" s="42">
        <f>SUMIFS(d_spend,d_date,"&gt;="&amp;$B$9,d_date,"&lt;="&amp;$B$10,d_plat,$C$4,d_type,$C$7,d_ind,$C$5,d_ctry,$C$6,d_plat,$A35)</f>
        <v>2106061.6699999971</v>
      </c>
      <c r="C35" s="42">
        <f>SUMIFS(d_rev,d_date,"&gt;="&amp;$B$9,d_date,"&lt;="&amp;$B$10,d_plat,$C$4,d_type,$C$7,d_ind,$C$5,d_ctry,$C$6,d_plat,$A35)</f>
        <v>11926045.789999984</v>
      </c>
      <c r="D35" s="35">
        <f>SUMIFS(d_conv,d_date,"&gt;="&amp;$B$9,d_date,"&lt;="&amp;$B$10,d_plat,$C$4,d_type,$C$7,d_ind,$C$5,d_ctry,$C$6,d_plat,$A35)</f>
        <v>73262</v>
      </c>
      <c r="E35" s="44">
        <f>IFERROR(C35/B35,0)</f>
        <v>5.662723917291558</v>
      </c>
      <c r="F35" s="37">
        <f>IFERROR(B35/D35,0)</f>
        <v>28.746985749774741</v>
      </c>
      <c r="G35" s="44">
        <f>IF(B35&gt;0,E35,-1)</f>
        <v>5.662723917291558</v>
      </c>
      <c r="H35" s="44">
        <f>IF(B35&gt;0,E35,9999)</f>
        <v>5.662723917291558</v>
      </c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</row>
    <row r="36" spans="1:19" x14ac:dyDescent="0.3">
      <c r="A36" s="34" t="s">
        <v>64</v>
      </c>
      <c r="B36" s="42">
        <f>SUMIFS(d_spend,d_date,"&gt;="&amp;$B$9,d_date,"&lt;="&amp;$B$10,d_plat,$C$4,d_type,$C$7,d_ind,$C$5,d_ctry,$C$6,d_plat,$A36)</f>
        <v>2653418.5099999993</v>
      </c>
      <c r="C36" s="42">
        <f>SUMIFS(d_rev,d_date,"&gt;="&amp;$B$9,d_date,"&lt;="&amp;$B$10,d_plat,$C$4,d_type,$C$7,d_ind,$C$5,d_ctry,$C$6,d_plat,$A36)</f>
        <v>20223540.07</v>
      </c>
      <c r="D36" s="35">
        <f>SUMIFS(d_conv,d_date,"&gt;="&amp;$B$9,d_date,"&lt;="&amp;$B$10,d_plat,$C$4,d_type,$C$7,d_ind,$C$5,d_ctry,$C$6,d_plat,$A36)</f>
        <v>122452</v>
      </c>
      <c r="E36" s="44">
        <f>IFERROR(C36/B36,0)</f>
        <v>7.6216925425759561</v>
      </c>
      <c r="F36" s="37">
        <f>IFERROR(B36/D36,0)</f>
        <v>21.669049995100114</v>
      </c>
      <c r="G36" s="44">
        <f>IF(B36&gt;0,E36,-1)</f>
        <v>7.6216925425759561</v>
      </c>
      <c r="H36" s="44">
        <f>IF(B36&gt;0,E36,9999)</f>
        <v>7.6216925425759561</v>
      </c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</row>
    <row r="37" spans="1:19" x14ac:dyDescent="0.3">
      <c r="A37" s="40" t="s">
        <v>102</v>
      </c>
      <c r="B37" s="34">
        <f>COUNTIF(B34:B36,"&gt;0")</f>
        <v>3</v>
      </c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</row>
    <row r="38" spans="1:19" x14ac:dyDescent="0.3">
      <c r="A38" s="40" t="s">
        <v>103</v>
      </c>
      <c r="B38" s="34" t="str">
        <f>INDEX($A$34:$A$36,MATCH(MAX(G34:G36),G34:G36,0))</f>
        <v>TikTok Ads</v>
      </c>
      <c r="C38" s="34">
        <f>MAX(G34:G36)</f>
        <v>7.6216925425759561</v>
      </c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</row>
    <row r="39" spans="1:19" x14ac:dyDescent="0.3">
      <c r="A39" s="40" t="s">
        <v>104</v>
      </c>
      <c r="B39" s="34" t="str">
        <f>INDEX($A$34:$A$36,MATCH(MIN(H34:H36),H34:H36,0))</f>
        <v>Google Ads</v>
      </c>
      <c r="C39" s="34">
        <f>MIN(H34:H36)</f>
        <v>3.4702806358220579</v>
      </c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</row>
    <row r="40" spans="1:19" x14ac:dyDescent="0.3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</row>
    <row r="41" spans="1:19" x14ac:dyDescent="0.3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</row>
    <row r="42" spans="1:19" x14ac:dyDescent="0.3">
      <c r="A42" s="41" t="s">
        <v>43</v>
      </c>
      <c r="B42" s="41" t="s">
        <v>45</v>
      </c>
      <c r="C42" s="41" t="s">
        <v>47</v>
      </c>
      <c r="D42" s="41" t="s">
        <v>48</v>
      </c>
      <c r="E42" s="41" t="s">
        <v>105</v>
      </c>
      <c r="F42" s="34"/>
      <c r="G42" s="41" t="s">
        <v>106</v>
      </c>
      <c r="H42" s="41" t="s">
        <v>107</v>
      </c>
      <c r="I42" s="41" t="s">
        <v>108</v>
      </c>
      <c r="J42" s="41" t="s">
        <v>109</v>
      </c>
      <c r="K42" s="41" t="s">
        <v>110</v>
      </c>
      <c r="L42" s="34"/>
      <c r="M42" s="34"/>
      <c r="N42" s="34"/>
      <c r="O42" s="34"/>
      <c r="P42" s="34"/>
      <c r="Q42" s="34"/>
      <c r="R42" s="34"/>
      <c r="S42" s="34"/>
    </row>
    <row r="43" spans="1:19" x14ac:dyDescent="0.3">
      <c r="A43" s="34" t="s">
        <v>76</v>
      </c>
      <c r="B43" s="42">
        <f>SUMIFS(d_spend,d_date,"&gt;="&amp;$B$9,d_date,"&lt;="&amp;$B$10,d_plat,$C$4,d_type,$C$7,d_ind,$C$5,d_ctry,$C$6,d_ind,$A43)</f>
        <v>1923987.0800000005</v>
      </c>
      <c r="C43" s="42">
        <f>SUMIFS(d_rev,d_date,"&gt;="&amp;$B$9,d_date,"&lt;="&amp;$B$10,d_plat,$C$4,d_type,$C$7,d_ind,$C$5,d_ctry,$C$6,d_ind,$A43)</f>
        <v>9637279.6899999995</v>
      </c>
      <c r="D43" s="44">
        <f>IFERROR(C43/B43,0)</f>
        <v>5.0090147642779375</v>
      </c>
      <c r="E43" s="34">
        <f>D43+ROW()*0.000000001</f>
        <v>5.0090148072779375</v>
      </c>
      <c r="F43" s="34"/>
      <c r="G43" s="34">
        <v>1</v>
      </c>
      <c r="H43" s="34">
        <f>LARGE($E$43:$E$47,G43)</f>
        <v>5.0441907096720753</v>
      </c>
      <c r="I43" s="34">
        <f>MATCH(H43,$E$43:$E$47,0)</f>
        <v>5</v>
      </c>
      <c r="J43" s="34" t="str">
        <f>INDEX($A$43:$A$47,I43)</f>
        <v>SaaS</v>
      </c>
      <c r="K43" s="44">
        <f>INDEX($D$43:$D$47,I43)</f>
        <v>5.0441906626720749</v>
      </c>
      <c r="L43" s="34"/>
      <c r="M43" s="34"/>
      <c r="N43" s="34"/>
      <c r="O43" s="34"/>
      <c r="P43" s="34"/>
      <c r="Q43" s="34"/>
      <c r="R43" s="34"/>
      <c r="S43" s="34"/>
    </row>
    <row r="44" spans="1:19" x14ac:dyDescent="0.3">
      <c r="A44" s="34" t="s">
        <v>65</v>
      </c>
      <c r="B44" s="42">
        <f>SUMIFS(d_spend,d_date,"&gt;="&amp;$B$9,d_date,"&lt;="&amp;$B$10,d_plat,$C$4,d_type,$C$7,d_ind,$C$5,d_ctry,$C$6,d_ind,$A44)</f>
        <v>2296978.5199999972</v>
      </c>
      <c r="C44" s="42">
        <f>SUMIFS(d_rev,d_date,"&gt;="&amp;$B$9,d_date,"&lt;="&amp;$B$10,d_plat,$C$4,d_type,$C$7,d_ind,$C$5,d_ctry,$C$6,d_ind,$A44)</f>
        <v>11549934.429999994</v>
      </c>
      <c r="D44" s="44">
        <f>IFERROR(C44/B44,0)</f>
        <v>5.028316255216879</v>
      </c>
      <c r="E44" s="34">
        <f>D44+ROW()*0.000000001</f>
        <v>5.0283162992168791</v>
      </c>
      <c r="F44" s="34"/>
      <c r="G44" s="34">
        <v>2</v>
      </c>
      <c r="H44" s="34">
        <f>LARGE($E$43:$E$47,G44)</f>
        <v>5.0283162992168791</v>
      </c>
      <c r="I44" s="34">
        <f>MATCH(H44,$E$43:$E$47,0)</f>
        <v>2</v>
      </c>
      <c r="J44" s="34" t="str">
        <f>INDEX($A$43:$A$47,I44)</f>
        <v>EdTech</v>
      </c>
      <c r="K44" s="44">
        <f>INDEX($D$43:$D$47,I44)</f>
        <v>5.028316255216879</v>
      </c>
      <c r="L44" s="34"/>
      <c r="M44" s="34"/>
      <c r="N44" s="34"/>
      <c r="O44" s="34"/>
      <c r="P44" s="34"/>
      <c r="Q44" s="34"/>
      <c r="R44" s="34"/>
      <c r="S44" s="34"/>
    </row>
    <row r="45" spans="1:19" x14ac:dyDescent="0.3">
      <c r="A45" s="34" t="s">
        <v>62</v>
      </c>
      <c r="B45" s="42">
        <f>SUMIFS(d_spend,d_date,"&gt;="&amp;$B$9,d_date,"&lt;="&amp;$B$10,d_plat,$C$4,d_type,$C$7,d_ind,$C$5,d_ctry,$C$6,d_ind,$A45)</f>
        <v>2271537.7300000009</v>
      </c>
      <c r="C45" s="42">
        <f>SUMIFS(d_rev,d_date,"&gt;="&amp;$B$9,d_date,"&lt;="&amp;$B$10,d_plat,$C$4,d_type,$C$7,d_ind,$C$5,d_ctry,$C$6,d_ind,$A45)</f>
        <v>10173311.229999997</v>
      </c>
      <c r="D45" s="44">
        <f>IFERROR(C45/B45,0)</f>
        <v>4.4786010356077126</v>
      </c>
      <c r="E45" s="34">
        <f>D45+ROW()*0.000000001</f>
        <v>4.4786010806077128</v>
      </c>
      <c r="F45" s="34"/>
      <c r="G45" s="34">
        <v>3</v>
      </c>
      <c r="H45" s="34">
        <f>LARGE($E$43:$E$47,G45)</f>
        <v>5.0090148072779375</v>
      </c>
      <c r="I45" s="34">
        <f>MATCH(H45,$E$43:$E$47,0)</f>
        <v>1</v>
      </c>
      <c r="J45" s="34" t="str">
        <f>INDEX($A$43:$A$47,I45)</f>
        <v>E-commerce</v>
      </c>
      <c r="K45" s="44">
        <f>INDEX($D$43:$D$47,I45)</f>
        <v>5.0090147642779375</v>
      </c>
      <c r="L45" s="34"/>
      <c r="M45" s="34"/>
      <c r="N45" s="34"/>
      <c r="O45" s="34"/>
      <c r="P45" s="34"/>
      <c r="Q45" s="34"/>
      <c r="R45" s="34"/>
      <c r="S45" s="34"/>
    </row>
    <row r="46" spans="1:19" x14ac:dyDescent="0.3">
      <c r="A46" s="34" t="s">
        <v>68</v>
      </c>
      <c r="B46" s="42">
        <f>SUMIFS(d_spend,d_date,"&gt;="&amp;$B$9,d_date,"&lt;="&amp;$B$10,d_plat,$C$4,d_type,$C$7,d_ind,$C$5,d_ctry,$C$6,d_ind,$A46)</f>
        <v>2258683.9200000009</v>
      </c>
      <c r="C46" s="42">
        <f>SUMIFS(d_rev,d_date,"&gt;="&amp;$B$9,d_date,"&lt;="&amp;$B$10,d_plat,$C$4,d_type,$C$7,d_ind,$C$5,d_ctry,$C$6,d_ind,$A46)</f>
        <v>10930814.039999999</v>
      </c>
      <c r="D46" s="44">
        <f>IFERROR(C46/B46,0)</f>
        <v>4.8394615745969425</v>
      </c>
      <c r="E46" s="34">
        <f>D46+ROW()*0.000000001</f>
        <v>4.8394616205969427</v>
      </c>
      <c r="F46" s="34"/>
      <c r="G46" s="34">
        <v>4</v>
      </c>
      <c r="H46" s="34">
        <f>LARGE($E$43:$E$47,G46)</f>
        <v>4.8394616205969427</v>
      </c>
      <c r="I46" s="34">
        <f>MATCH(H46,$E$43:$E$47,0)</f>
        <v>4</v>
      </c>
      <c r="J46" s="34" t="str">
        <f>INDEX($A$43:$A$47,I46)</f>
        <v>Healthcare</v>
      </c>
      <c r="K46" s="44">
        <f>INDEX($D$43:$D$47,I46)</f>
        <v>4.8394615745969425</v>
      </c>
      <c r="L46" s="34"/>
      <c r="M46" s="34"/>
      <c r="N46" s="34"/>
      <c r="O46" s="34"/>
      <c r="P46" s="34"/>
      <c r="Q46" s="34"/>
      <c r="R46" s="34"/>
      <c r="S46" s="34"/>
    </row>
    <row r="47" spans="1:19" x14ac:dyDescent="0.3">
      <c r="A47" s="34" t="s">
        <v>71</v>
      </c>
      <c r="B47" s="42">
        <f>SUMIFS(d_spend,d_date,"&gt;="&amp;$B$9,d_date,"&lt;="&amp;$B$10,d_plat,$C$4,d_type,$C$7,d_ind,$C$5,d_ctry,$C$6,d_ind,$A47)</f>
        <v>2357561.8399999994</v>
      </c>
      <c r="C47" s="42">
        <f>SUMIFS(d_rev,d_date,"&gt;="&amp;$B$9,d_date,"&lt;="&amp;$B$10,d_plat,$C$4,d_type,$C$7,d_ind,$C$5,d_ctry,$C$6,d_ind,$A47)</f>
        <v>11891991.419999992</v>
      </c>
      <c r="D47" s="44">
        <f>IFERROR(C47/B47,0)</f>
        <v>5.0441906626720749</v>
      </c>
      <c r="E47" s="34">
        <f>D47+ROW()*0.000000001</f>
        <v>5.0441907096720753</v>
      </c>
      <c r="F47" s="34"/>
      <c r="G47" s="34">
        <v>5</v>
      </c>
      <c r="H47" s="34">
        <f>LARGE($E$43:$E$47,G47)</f>
        <v>4.4786010806077128</v>
      </c>
      <c r="I47" s="34">
        <f>MATCH(H47,$E$43:$E$47,0)</f>
        <v>3</v>
      </c>
      <c r="J47" s="34" t="str">
        <f>INDEX($A$43:$A$47,I47)</f>
        <v>Fintech</v>
      </c>
      <c r="K47" s="44">
        <f>INDEX($D$43:$D$47,I47)</f>
        <v>4.4786010356077126</v>
      </c>
      <c r="L47" s="34"/>
      <c r="M47" s="34"/>
      <c r="N47" s="34"/>
      <c r="O47" s="34"/>
      <c r="P47" s="34"/>
      <c r="Q47" s="34"/>
      <c r="R47" s="34"/>
      <c r="S47" s="34"/>
    </row>
    <row r="48" spans="1:19" x14ac:dyDescent="0.3">
      <c r="A48" s="40" t="s">
        <v>111</v>
      </c>
      <c r="B48" s="34">
        <f>COUNTIF(B43:B47,"&gt;0")</f>
        <v>5</v>
      </c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</row>
    <row r="49" spans="1:19" x14ac:dyDescent="0.3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</row>
    <row r="50" spans="1:19" x14ac:dyDescent="0.3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</row>
    <row r="51" spans="1:19" x14ac:dyDescent="0.3">
      <c r="A51" s="41" t="s">
        <v>44</v>
      </c>
      <c r="B51" s="41" t="s">
        <v>45</v>
      </c>
      <c r="C51" s="41" t="s">
        <v>46</v>
      </c>
      <c r="D51" s="41" t="s">
        <v>49</v>
      </c>
      <c r="E51" s="41" t="s">
        <v>105</v>
      </c>
      <c r="F51" s="34"/>
      <c r="G51" s="41" t="s">
        <v>106</v>
      </c>
      <c r="H51" s="41" t="s">
        <v>107</v>
      </c>
      <c r="I51" s="41" t="s">
        <v>108</v>
      </c>
      <c r="J51" s="41" t="s">
        <v>109</v>
      </c>
      <c r="K51" s="41" t="s">
        <v>112</v>
      </c>
      <c r="L51" s="34"/>
      <c r="M51" s="34"/>
      <c r="N51" s="34"/>
      <c r="O51" s="34"/>
      <c r="P51" s="34"/>
      <c r="Q51" s="34"/>
      <c r="R51" s="34"/>
      <c r="S51" s="34"/>
    </row>
    <row r="52" spans="1:19" x14ac:dyDescent="0.3">
      <c r="A52" s="34" t="s">
        <v>78</v>
      </c>
      <c r="B52" s="42">
        <f t="shared" ref="B52:B58" si="1">SUMIFS(d_spend,d_date,"&gt;="&amp;$B$9,d_date,"&lt;="&amp;$B$10,d_plat,$C$4,d_type,$C$7,d_ind,$C$5,d_ctry,$C$6,d_ctry,$A52)</f>
        <v>1586264.9399999997</v>
      </c>
      <c r="C52" s="35">
        <f t="shared" ref="C52:C58" si="2">SUMIFS(d_conv,d_date,"&gt;="&amp;$B$9,d_date,"&lt;="&amp;$B$10,d_plat,$C$4,d_type,$C$7,d_ind,$C$5,d_ctry,$C$6,d_ctry,$A52)</f>
        <v>45869</v>
      </c>
      <c r="D52" s="37">
        <f t="shared" ref="D52:D58" si="3">IFERROR(B52/C52,0)</f>
        <v>34.582505395801078</v>
      </c>
      <c r="E52" s="37">
        <f t="shared" ref="E52:E58" si="4">D52+ROW()*0.000000001</f>
        <v>34.582505447801076</v>
      </c>
      <c r="F52" s="34"/>
      <c r="G52" s="34">
        <v>1</v>
      </c>
      <c r="H52" s="34">
        <f t="shared" ref="H52:H58" si="5">LARGE($E$52:$E$58,G52)</f>
        <v>36.007896802341179</v>
      </c>
      <c r="I52" s="34">
        <f t="shared" ref="I52:I58" si="6">MATCH(H52,$E$52:$E$58,0)</f>
        <v>7</v>
      </c>
      <c r="J52" s="34" t="str">
        <f t="shared" ref="J52:J58" si="7">INDEX($A$52:$A$58,I52)</f>
        <v>USA</v>
      </c>
      <c r="K52" s="37">
        <f t="shared" ref="K52:K58" si="8">INDEX($D$52:$D$58,I52)</f>
        <v>36.007896744341181</v>
      </c>
      <c r="L52" s="34"/>
      <c r="M52" s="34"/>
      <c r="N52" s="34"/>
      <c r="O52" s="34"/>
      <c r="P52" s="34"/>
      <c r="Q52" s="34"/>
      <c r="R52" s="34"/>
      <c r="S52" s="34"/>
    </row>
    <row r="53" spans="1:19" x14ac:dyDescent="0.3">
      <c r="A53" s="34" t="s">
        <v>73</v>
      </c>
      <c r="B53" s="42">
        <f t="shared" si="1"/>
        <v>1643262.5399999996</v>
      </c>
      <c r="C53" s="35">
        <f t="shared" si="2"/>
        <v>46243</v>
      </c>
      <c r="D53" s="37">
        <f t="shared" si="3"/>
        <v>35.535379192526428</v>
      </c>
      <c r="E53" s="37">
        <f t="shared" si="4"/>
        <v>35.535379245526428</v>
      </c>
      <c r="F53" s="34"/>
      <c r="G53" s="34">
        <v>2</v>
      </c>
      <c r="H53" s="34">
        <f t="shared" si="5"/>
        <v>35.535379245526428</v>
      </c>
      <c r="I53" s="34">
        <f t="shared" si="6"/>
        <v>2</v>
      </c>
      <c r="J53" s="34" t="str">
        <f t="shared" si="7"/>
        <v>Canada</v>
      </c>
      <c r="K53" s="37">
        <f t="shared" si="8"/>
        <v>35.535379192526428</v>
      </c>
      <c r="L53" s="34"/>
      <c r="M53" s="34"/>
      <c r="N53" s="34"/>
      <c r="O53" s="34"/>
      <c r="P53" s="34"/>
      <c r="Q53" s="34"/>
      <c r="R53" s="34"/>
      <c r="S53" s="34"/>
    </row>
    <row r="54" spans="1:19" x14ac:dyDescent="0.3">
      <c r="A54" s="34" t="s">
        <v>72</v>
      </c>
      <c r="B54" s="42">
        <f t="shared" si="1"/>
        <v>1551062.1699999992</v>
      </c>
      <c r="C54" s="35">
        <f t="shared" si="2"/>
        <v>44768</v>
      </c>
      <c r="D54" s="37">
        <f t="shared" si="3"/>
        <v>34.646671059685474</v>
      </c>
      <c r="E54" s="37">
        <f t="shared" si="4"/>
        <v>34.646671113685471</v>
      </c>
      <c r="F54" s="34"/>
      <c r="G54" s="34">
        <v>3</v>
      </c>
      <c r="H54" s="34">
        <f t="shared" si="5"/>
        <v>34.646671113685471</v>
      </c>
      <c r="I54" s="34">
        <f t="shared" si="6"/>
        <v>3</v>
      </c>
      <c r="J54" s="34" t="str">
        <f t="shared" si="7"/>
        <v>Germany</v>
      </c>
      <c r="K54" s="37">
        <f t="shared" si="8"/>
        <v>34.646671059685474</v>
      </c>
      <c r="L54" s="34"/>
      <c r="M54" s="34"/>
      <c r="N54" s="34"/>
      <c r="O54" s="34"/>
      <c r="P54" s="34"/>
      <c r="Q54" s="34"/>
      <c r="R54" s="34"/>
      <c r="S54" s="34"/>
    </row>
    <row r="55" spans="1:19" x14ac:dyDescent="0.3">
      <c r="A55" s="34" t="s">
        <v>77</v>
      </c>
      <c r="B55" s="42">
        <f t="shared" si="1"/>
        <v>1438741.76</v>
      </c>
      <c r="C55" s="35">
        <f t="shared" si="2"/>
        <v>46767</v>
      </c>
      <c r="D55" s="37">
        <f t="shared" si="3"/>
        <v>30.764037889965145</v>
      </c>
      <c r="E55" s="37">
        <f t="shared" si="4"/>
        <v>30.764037944965146</v>
      </c>
      <c r="F55" s="34"/>
      <c r="G55" s="34">
        <v>4</v>
      </c>
      <c r="H55" s="34">
        <f t="shared" si="5"/>
        <v>34.582505447801076</v>
      </c>
      <c r="I55" s="34">
        <f t="shared" si="6"/>
        <v>1</v>
      </c>
      <c r="J55" s="34" t="str">
        <f t="shared" si="7"/>
        <v>Australia</v>
      </c>
      <c r="K55" s="37">
        <f t="shared" si="8"/>
        <v>34.582505395801078</v>
      </c>
      <c r="L55" s="34"/>
      <c r="M55" s="34"/>
      <c r="N55" s="34"/>
      <c r="O55" s="34"/>
      <c r="P55" s="34"/>
      <c r="Q55" s="34"/>
      <c r="R55" s="34"/>
      <c r="S55" s="34"/>
    </row>
    <row r="56" spans="1:19" x14ac:dyDescent="0.3">
      <c r="A56" s="34" t="s">
        <v>63</v>
      </c>
      <c r="B56" s="42">
        <f t="shared" si="1"/>
        <v>1614677.3299999994</v>
      </c>
      <c r="C56" s="35">
        <f t="shared" si="2"/>
        <v>48345</v>
      </c>
      <c r="D56" s="37">
        <f t="shared" si="3"/>
        <v>33.3990553314717</v>
      </c>
      <c r="E56" s="37">
        <f t="shared" si="4"/>
        <v>33.399055387471698</v>
      </c>
      <c r="F56" s="34"/>
      <c r="G56" s="34">
        <v>5</v>
      </c>
      <c r="H56" s="34">
        <f t="shared" si="5"/>
        <v>33.399055387471698</v>
      </c>
      <c r="I56" s="34">
        <f t="shared" si="6"/>
        <v>5</v>
      </c>
      <c r="J56" s="34" t="str">
        <f t="shared" si="7"/>
        <v>UAE</v>
      </c>
      <c r="K56" s="37">
        <f t="shared" si="8"/>
        <v>33.3990553314717</v>
      </c>
      <c r="L56" s="34"/>
      <c r="M56" s="34"/>
      <c r="N56" s="34"/>
      <c r="O56" s="34"/>
      <c r="P56" s="34"/>
      <c r="Q56" s="34"/>
      <c r="R56" s="34"/>
      <c r="S56" s="34"/>
    </row>
    <row r="57" spans="1:19" x14ac:dyDescent="0.3">
      <c r="A57" s="34" t="s">
        <v>66</v>
      </c>
      <c r="B57" s="42">
        <f t="shared" si="1"/>
        <v>1547153.48</v>
      </c>
      <c r="C57" s="35">
        <f t="shared" si="2"/>
        <v>46842</v>
      </c>
      <c r="D57" s="37">
        <f t="shared" si="3"/>
        <v>33.029193458861705</v>
      </c>
      <c r="E57" s="37">
        <f t="shared" si="4"/>
        <v>33.029193515861706</v>
      </c>
      <c r="F57" s="34"/>
      <c r="G57" s="34">
        <v>6</v>
      </c>
      <c r="H57" s="34">
        <f t="shared" si="5"/>
        <v>33.029193515861706</v>
      </c>
      <c r="I57" s="34">
        <f t="shared" si="6"/>
        <v>6</v>
      </c>
      <c r="J57" s="34" t="str">
        <f t="shared" si="7"/>
        <v>UK</v>
      </c>
      <c r="K57" s="37">
        <f t="shared" si="8"/>
        <v>33.029193458861705</v>
      </c>
      <c r="L57" s="34"/>
      <c r="M57" s="34"/>
      <c r="N57" s="34"/>
      <c r="O57" s="34"/>
      <c r="P57" s="34"/>
      <c r="Q57" s="34"/>
      <c r="R57" s="34"/>
      <c r="S57" s="34"/>
    </row>
    <row r="58" spans="1:19" x14ac:dyDescent="0.3">
      <c r="A58" s="34" t="s">
        <v>69</v>
      </c>
      <c r="B58" s="42">
        <f t="shared" si="1"/>
        <v>1727586.8700000013</v>
      </c>
      <c r="C58" s="35">
        <f t="shared" si="2"/>
        <v>47978</v>
      </c>
      <c r="D58" s="37">
        <f t="shared" si="3"/>
        <v>36.007896744341181</v>
      </c>
      <c r="E58" s="37">
        <f t="shared" si="4"/>
        <v>36.007896802341179</v>
      </c>
      <c r="F58" s="34"/>
      <c r="G58" s="34">
        <v>7</v>
      </c>
      <c r="H58" s="34">
        <f t="shared" si="5"/>
        <v>30.764037944965146</v>
      </c>
      <c r="I58" s="34">
        <f t="shared" si="6"/>
        <v>4</v>
      </c>
      <c r="J58" s="34" t="str">
        <f t="shared" si="7"/>
        <v>India</v>
      </c>
      <c r="K58" s="37">
        <f t="shared" si="8"/>
        <v>30.764037889965145</v>
      </c>
      <c r="L58" s="34"/>
      <c r="M58" s="34"/>
      <c r="N58" s="34"/>
      <c r="O58" s="34"/>
      <c r="P58" s="34"/>
      <c r="Q58" s="34"/>
      <c r="R58" s="34"/>
      <c r="S58" s="34"/>
    </row>
    <row r="59" spans="1:19" x14ac:dyDescent="0.3">
      <c r="A59" s="40" t="s">
        <v>111</v>
      </c>
      <c r="B59" s="34">
        <f>COUNTIF(B52:B58,"&gt;0")</f>
        <v>7</v>
      </c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</row>
    <row r="60" spans="1:19" x14ac:dyDescent="0.3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</row>
    <row r="61" spans="1:19" x14ac:dyDescent="0.3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</row>
    <row r="62" spans="1:19" x14ac:dyDescent="0.3">
      <c r="A62" s="41" t="s">
        <v>42</v>
      </c>
      <c r="B62" s="41" t="s">
        <v>97</v>
      </c>
      <c r="C62" s="41" t="s">
        <v>98</v>
      </c>
      <c r="D62" s="41" t="s">
        <v>15</v>
      </c>
      <c r="E62" s="41" t="s">
        <v>113</v>
      </c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</row>
    <row r="63" spans="1:19" x14ac:dyDescent="0.3">
      <c r="A63" s="34" t="s">
        <v>75</v>
      </c>
      <c r="B63" s="35">
        <f>SUMIFS(d_imp,d_date,"&gt;="&amp;$B$9,d_date,"&lt;="&amp;$B$10,d_plat,$C$4,d_type,$C$7,d_ind,$C$5,d_ctry,$C$6,d_type,$A63)</f>
        <v>43487104</v>
      </c>
      <c r="C63" s="35">
        <f>SUMIFS(d_clk,d_date,"&gt;="&amp;$B$9,d_date,"&lt;="&amp;$B$10,d_plat,$C$4,d_type,$C$7,d_ind,$C$5,d_ctry,$C$6,d_type,$A63)</f>
        <v>1638396</v>
      </c>
      <c r="D63" s="36">
        <f>IFERROR(C63/B63,0)</f>
        <v>3.7675445115866991E-2</v>
      </c>
      <c r="E63" s="36">
        <f>IF(B63&gt;0,D63,-1)</f>
        <v>3.7675445115866991E-2</v>
      </c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</row>
    <row r="64" spans="1:19" x14ac:dyDescent="0.3">
      <c r="A64" s="34" t="s">
        <v>61</v>
      </c>
      <c r="B64" s="35">
        <f>SUMIFS(d_imp,d_date,"&gt;="&amp;$B$9,d_date,"&lt;="&amp;$B$10,d_plat,$C$4,d_type,$C$7,d_ind,$C$5,d_ctry,$C$6,d_type,$A64)</f>
        <v>47544475</v>
      </c>
      <c r="C64" s="35">
        <f>SUMIFS(d_clk,d_date,"&gt;="&amp;$B$9,d_date,"&lt;="&amp;$B$10,d_plat,$C$4,d_type,$C$7,d_ind,$C$5,d_ctry,$C$6,d_type,$A64)</f>
        <v>1898227</v>
      </c>
      <c r="D64" s="36">
        <f>IFERROR(C64/B64,0)</f>
        <v>3.9925291003844295E-2</v>
      </c>
      <c r="E64" s="36">
        <f>IF(B64&gt;0,D64,-1)</f>
        <v>3.9925291003844295E-2</v>
      </c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</row>
    <row r="65" spans="1:19" x14ac:dyDescent="0.3">
      <c r="A65" s="34" t="s">
        <v>70</v>
      </c>
      <c r="B65" s="35">
        <f>SUMIFS(d_imp,d_date,"&gt;="&amp;$B$9,d_date,"&lt;="&amp;$B$10,d_plat,$C$4,d_type,$C$7,d_ind,$C$5,d_ctry,$C$6,d_type,$A65)</f>
        <v>46474038</v>
      </c>
      <c r="C65" s="35">
        <f>SUMIFS(d_clk,d_date,"&gt;="&amp;$B$9,d_date,"&lt;="&amp;$B$10,d_plat,$C$4,d_type,$C$7,d_ind,$C$5,d_ctry,$C$6,d_type,$A65)</f>
        <v>1785310</v>
      </c>
      <c r="D65" s="36">
        <f>IFERROR(C65/B65,0)</f>
        <v>3.8415211520892591E-2</v>
      </c>
      <c r="E65" s="36">
        <f>IF(B65&gt;0,D65,-1)</f>
        <v>3.8415211520892591E-2</v>
      </c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</row>
    <row r="66" spans="1:19" x14ac:dyDescent="0.3">
      <c r="A66" s="34" t="s">
        <v>67</v>
      </c>
      <c r="B66" s="35">
        <f>SUMIFS(d_imp,d_date,"&gt;="&amp;$B$9,d_date,"&lt;="&amp;$B$10,d_plat,$C$4,d_type,$C$7,d_ind,$C$5,d_ctry,$C$6,d_type,$A66)</f>
        <v>47748617</v>
      </c>
      <c r="C66" s="35">
        <f>SUMIFS(d_clk,d_date,"&gt;="&amp;$B$9,d_date,"&lt;="&amp;$B$10,d_plat,$C$4,d_type,$C$7,d_ind,$C$5,d_ctry,$C$6,d_type,$A66)</f>
        <v>1810883</v>
      </c>
      <c r="D66" s="36">
        <f>IFERROR(C66/B66,0)</f>
        <v>3.7925349754109106E-2</v>
      </c>
      <c r="E66" s="36">
        <f>IF(B66&gt;0,D66,-1)</f>
        <v>3.7925349754109106E-2</v>
      </c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</row>
    <row r="67" spans="1:19" x14ac:dyDescent="0.3">
      <c r="A67" s="40" t="s">
        <v>114</v>
      </c>
      <c r="B67" s="34">
        <f>COUNTIF(B63:B66,"&gt;0")</f>
        <v>4</v>
      </c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</row>
    <row r="68" spans="1:19" x14ac:dyDescent="0.3">
      <c r="A68" s="40" t="s">
        <v>115</v>
      </c>
      <c r="B68" s="34" t="str">
        <f>INDEX($A$63:$A$66,MATCH(MAX(E63:E66),E63:E66,0))</f>
        <v>Search</v>
      </c>
      <c r="C68" s="36">
        <f>MAX(E63:E66)</f>
        <v>3.9925291003844295E-2</v>
      </c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</row>
    <row r="69" spans="1:19" x14ac:dyDescent="0.3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</row>
    <row r="70" spans="1:19" x14ac:dyDescent="0.3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</row>
    <row r="71" spans="1:19" x14ac:dyDescent="0.3">
      <c r="A71" s="41" t="s">
        <v>116</v>
      </c>
      <c r="B71" s="41" t="s">
        <v>117</v>
      </c>
      <c r="C71" s="41" t="s">
        <v>118</v>
      </c>
      <c r="D71" s="41" t="s">
        <v>45</v>
      </c>
      <c r="E71" s="41" t="s">
        <v>47</v>
      </c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</row>
    <row r="72" spans="1:19" x14ac:dyDescent="0.3">
      <c r="A72" s="34" t="str">
        <f>Lists!M4</f>
        <v>Jan</v>
      </c>
      <c r="B72" s="33">
        <f>DATE(Lists!$B$1,1,1)</f>
        <v>45292</v>
      </c>
      <c r="C72" s="33">
        <f t="shared" ref="C72:C83" si="9">EOMONTH(B72,0)</f>
        <v>45322</v>
      </c>
      <c r="D72" s="42">
        <f t="shared" ref="D72:D83" si="10">SUMIFS(d_spend,d_date,"&gt;="&amp;$B72,d_date,"&lt;="&amp;$C72,d_plat,$C$4,d_type,$C$7,d_ind,$C$5,d_ctry,$C$6)</f>
        <v>901735.06000000052</v>
      </c>
      <c r="E72" s="42">
        <f t="shared" ref="E72:E83" si="11">SUMIFS(d_rev,d_date,"&gt;="&amp;$B72,d_date,"&lt;="&amp;$C72,d_plat,$C$4,d_type,$C$7,d_ind,$C$5,d_ctry,$C$6)</f>
        <v>4691994.4700000016</v>
      </c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</row>
    <row r="73" spans="1:19" x14ac:dyDescent="0.3">
      <c r="A73" s="34" t="str">
        <f>Lists!M5</f>
        <v>Feb</v>
      </c>
      <c r="B73" s="33">
        <f>DATE(Lists!$B$1,2,1)</f>
        <v>45323</v>
      </c>
      <c r="C73" s="33">
        <f t="shared" si="9"/>
        <v>45351</v>
      </c>
      <c r="D73" s="42">
        <f t="shared" si="10"/>
        <v>988588.35999999987</v>
      </c>
      <c r="E73" s="42">
        <f t="shared" si="11"/>
        <v>4749203.459999999</v>
      </c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</row>
    <row r="74" spans="1:19" x14ac:dyDescent="0.3">
      <c r="A74" s="34" t="str">
        <f>Lists!M6</f>
        <v>Mar</v>
      </c>
      <c r="B74" s="33">
        <f>DATE(Lists!$B$1,3,1)</f>
        <v>45352</v>
      </c>
      <c r="C74" s="33">
        <f t="shared" si="9"/>
        <v>45382</v>
      </c>
      <c r="D74" s="42">
        <f t="shared" si="10"/>
        <v>837915.28000000061</v>
      </c>
      <c r="E74" s="42">
        <f t="shared" si="11"/>
        <v>4407519.3800000027</v>
      </c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</row>
    <row r="75" spans="1:19" x14ac:dyDescent="0.3">
      <c r="A75" s="34" t="str">
        <f>Lists!M7</f>
        <v>Apr</v>
      </c>
      <c r="B75" s="33">
        <f>DATE(Lists!$B$1,4,1)</f>
        <v>45383</v>
      </c>
      <c r="C75" s="33">
        <f t="shared" si="9"/>
        <v>45412</v>
      </c>
      <c r="D75" s="42">
        <f t="shared" si="10"/>
        <v>1032895.8999999997</v>
      </c>
      <c r="E75" s="42">
        <f t="shared" si="11"/>
        <v>5143463.57</v>
      </c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</row>
    <row r="76" spans="1:19" x14ac:dyDescent="0.3">
      <c r="A76" s="34" t="str">
        <f>Lists!M8</f>
        <v>May</v>
      </c>
      <c r="B76" s="33">
        <f>DATE(Lists!$B$1,5,1)</f>
        <v>45413</v>
      </c>
      <c r="C76" s="33">
        <f t="shared" si="9"/>
        <v>45443</v>
      </c>
      <c r="D76" s="42">
        <f t="shared" si="10"/>
        <v>904564.25999999943</v>
      </c>
      <c r="E76" s="42">
        <f t="shared" si="11"/>
        <v>3768913.3599999994</v>
      </c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</row>
    <row r="77" spans="1:19" x14ac:dyDescent="0.3">
      <c r="A77" s="34" t="str">
        <f>Lists!M9</f>
        <v>Jun</v>
      </c>
      <c r="B77" s="33">
        <f>DATE(Lists!$B$1,6,1)</f>
        <v>45444</v>
      </c>
      <c r="C77" s="33">
        <f t="shared" si="9"/>
        <v>45473</v>
      </c>
      <c r="D77" s="42">
        <f t="shared" si="10"/>
        <v>966952.75999999989</v>
      </c>
      <c r="E77" s="42">
        <f t="shared" si="11"/>
        <v>4362176.3099999996</v>
      </c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</row>
    <row r="78" spans="1:19" x14ac:dyDescent="0.3">
      <c r="A78" s="34" t="str">
        <f>Lists!M10</f>
        <v>Jul</v>
      </c>
      <c r="B78" s="33">
        <f>DATE(Lists!$B$1,7,1)</f>
        <v>45474</v>
      </c>
      <c r="C78" s="33">
        <f t="shared" si="9"/>
        <v>45504</v>
      </c>
      <c r="D78" s="42">
        <f t="shared" si="10"/>
        <v>797918.1399999999</v>
      </c>
      <c r="E78" s="42">
        <f t="shared" si="11"/>
        <v>3695093.9700000021</v>
      </c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</row>
    <row r="79" spans="1:19" x14ac:dyDescent="0.3">
      <c r="A79" s="34" t="str">
        <f>Lists!M11</f>
        <v>Aug</v>
      </c>
      <c r="B79" s="33">
        <f>DATE(Lists!$B$1,8,1)</f>
        <v>45505</v>
      </c>
      <c r="C79" s="33">
        <f t="shared" si="9"/>
        <v>45535</v>
      </c>
      <c r="D79" s="42">
        <f t="shared" si="10"/>
        <v>819622.04999999958</v>
      </c>
      <c r="E79" s="42">
        <f t="shared" si="11"/>
        <v>4301659.2600000016</v>
      </c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</row>
    <row r="80" spans="1:19" x14ac:dyDescent="0.3">
      <c r="A80" s="34" t="str">
        <f>Lists!M12</f>
        <v>Sep</v>
      </c>
      <c r="B80" s="33">
        <f>DATE(Lists!$B$1,9,1)</f>
        <v>45536</v>
      </c>
      <c r="C80" s="33">
        <f t="shared" si="9"/>
        <v>45565</v>
      </c>
      <c r="D80" s="42">
        <f t="shared" si="10"/>
        <v>1010523.0399999998</v>
      </c>
      <c r="E80" s="42">
        <f t="shared" si="11"/>
        <v>4749430.2700000005</v>
      </c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</row>
    <row r="81" spans="1:19" x14ac:dyDescent="0.3">
      <c r="A81" s="34" t="str">
        <f>Lists!M13</f>
        <v>Oct</v>
      </c>
      <c r="B81" s="33">
        <f>DATE(Lists!$B$1,10,1)</f>
        <v>45566</v>
      </c>
      <c r="C81" s="33">
        <f t="shared" si="9"/>
        <v>45596</v>
      </c>
      <c r="D81" s="42">
        <f t="shared" si="10"/>
        <v>868099.26000000013</v>
      </c>
      <c r="E81" s="42">
        <f t="shared" si="11"/>
        <v>4670520.6799999978</v>
      </c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</row>
    <row r="82" spans="1:19" x14ac:dyDescent="0.3">
      <c r="A82" s="34" t="str">
        <f>Lists!M14</f>
        <v>Nov</v>
      </c>
      <c r="B82" s="33">
        <f>DATE(Lists!$B$1,11,1)</f>
        <v>45597</v>
      </c>
      <c r="C82" s="33">
        <f t="shared" si="9"/>
        <v>45626</v>
      </c>
      <c r="D82" s="42">
        <f t="shared" si="10"/>
        <v>882564.99000000022</v>
      </c>
      <c r="E82" s="42">
        <f t="shared" si="11"/>
        <v>4484002.7500000028</v>
      </c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</row>
    <row r="83" spans="1:19" x14ac:dyDescent="0.3">
      <c r="A83" s="34" t="str">
        <f>Lists!M15</f>
        <v>Dec</v>
      </c>
      <c r="B83" s="33">
        <f>DATE(Lists!$B$1,12,1)</f>
        <v>45627</v>
      </c>
      <c r="C83" s="33">
        <f t="shared" si="9"/>
        <v>45657</v>
      </c>
      <c r="D83" s="42">
        <f t="shared" si="10"/>
        <v>1097369.9899999995</v>
      </c>
      <c r="E83" s="42">
        <f t="shared" si="11"/>
        <v>5159353.3300000019</v>
      </c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</row>
    <row r="84" spans="1:19" x14ac:dyDescent="0.3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</row>
    <row r="85" spans="1:19" x14ac:dyDescent="0.3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</row>
    <row r="86" spans="1:19" x14ac:dyDescent="0.3">
      <c r="A86" s="40" t="s">
        <v>119</v>
      </c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</row>
    <row r="87" spans="1:19" x14ac:dyDescent="0.3">
      <c r="A87" s="34" t="s">
        <v>120</v>
      </c>
      <c r="B87" s="34" t="str">
        <f>IF($B$21=0,"No campaigns match this combination of filters. Set one or more filters back to All.",IF($B$37&lt;2,"Only "&amp;INDEX($A$34:$A$36,MATCH(MAX($B$34:$B$36),$B$34:$B$36,0))&amp;" is in view. Set Platform to All Platforms to compare efficiency across platforms.","Best platform: "&amp;$B$38&amp;" returns "&amp;ROUND($C$38,2)&amp;"x ROAS vs "&amp;ROUND($C$39,2)&amp;"x on "&amp;$B$39&amp;" - a gap of "&amp;ROUND($C$38-$C$39,2)&amp;"x revenue per $1 of spend."))</f>
        <v>Best platform: TikTok Ads returns 7.62x ROAS vs 3.47x on Google Ads - a gap of 4.15x revenue per $1 of spend.</v>
      </c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</row>
    <row r="88" spans="1:19" x14ac:dyDescent="0.3">
      <c r="A88" s="34" t="s">
        <v>121</v>
      </c>
      <c r="B88" s="34" t="str">
        <f>IF($B$48&lt;2,"",$J$43&amp;" leads industries at "&amp;ROUND($K$43,2)&amp;"x ROAS, while "&amp;INDEX($J$43:$J$47,$B$48)&amp;" trails at "&amp;ROUND(INDEX($K$43:$K$47,$B$48),2)&amp;"x.")</f>
        <v>SaaS leads industries at 5.04x ROAS, while Fintech trails at 4.48x.</v>
      </c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</row>
    <row r="89" spans="1:19" x14ac:dyDescent="0.3">
      <c r="A89" s="34" t="s">
        <v>122</v>
      </c>
      <c r="B89" s="34" t="str">
        <f>IF($B$59&lt;2,"",$J$52&amp;" has the highest CPA ($"&amp;ROUND($K$52,2)&amp;") vs $"&amp;ROUND(INDEX($K$52:$K$58,$B$59),2)&amp;" in "&amp;INDEX($J$52:$J$58,$B$59)&amp;".")</f>
        <v>USA has the highest CPA ($36.01) vs $30.76 in India.</v>
      </c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</row>
    <row r="90" spans="1:19" x14ac:dyDescent="0.3">
      <c r="A90" s="34" t="s">
        <v>123</v>
      </c>
      <c r="B90" s="34" t="str">
        <f>IF(AND($B$88="",$B$89=""),"Narrow filters leave too little to rank. Set Industry / Country to All for a full comparison.",TRIM($B$88&amp;" "&amp;$B$89))</f>
        <v>SaaS leads industries at 5.04x ROAS, while Fintech trails at 4.48x. USA has the highest CPA ($36.01) vs $30.76 in India.</v>
      </c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</row>
    <row r="91" spans="1:19" x14ac:dyDescent="0.3">
      <c r="A91" s="34" t="s">
        <v>38</v>
      </c>
      <c r="B91" s="34" t="str">
        <f>IF(AND($B$37&lt;2,$B$59&lt;2,$B$67&lt;2),"Widen the filters to unlock recommendations.",TRIM(IF($B$37&gt;=2,"Shift budget from "&amp;$B$39&amp;" toward "&amp;$B$38&amp;". ","")&amp;IF($B$59&gt;=2,"Audit targeting in "&amp;$J$52&amp;" to cut CPA. ","")&amp;IF($B$67&gt;=2,"Scale "&amp;$B$68&amp;" campaigns (highest CTR at "&amp;ROUND($C$68*100,2)&amp;"%).","")))</f>
        <v>Shift budget from Google Ads toward TikTok Ads. Audit targeting in USA to cut CPA. Scale Search campaigns (highest CTR at 3.99%).</v>
      </c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</row>
    <row r="92" spans="1:19" x14ac:dyDescent="0.3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</row>
    <row r="93" spans="1:19" x14ac:dyDescent="0.3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</row>
    <row r="94" spans="1:19" x14ac:dyDescent="0.3">
      <c r="A94" s="41" t="s">
        <v>41</v>
      </c>
      <c r="B94" s="41" t="s">
        <v>42</v>
      </c>
      <c r="C94" s="41" t="s">
        <v>43</v>
      </c>
      <c r="D94" s="41" t="s">
        <v>44</v>
      </c>
      <c r="E94" s="41" t="s">
        <v>47</v>
      </c>
      <c r="F94" s="41" t="s">
        <v>105</v>
      </c>
      <c r="G94" s="34"/>
      <c r="H94" s="41" t="s">
        <v>106</v>
      </c>
      <c r="I94" s="41" t="s">
        <v>107</v>
      </c>
      <c r="J94" s="41" t="s">
        <v>108</v>
      </c>
      <c r="K94" s="41" t="s">
        <v>41</v>
      </c>
      <c r="L94" s="41" t="s">
        <v>42</v>
      </c>
      <c r="M94" s="41" t="s">
        <v>43</v>
      </c>
      <c r="N94" s="41" t="s">
        <v>44</v>
      </c>
      <c r="O94" s="41" t="s">
        <v>45</v>
      </c>
      <c r="P94" s="41" t="s">
        <v>46</v>
      </c>
      <c r="Q94" s="41" t="s">
        <v>47</v>
      </c>
      <c r="R94" s="41" t="s">
        <v>48</v>
      </c>
      <c r="S94" s="41" t="s">
        <v>49</v>
      </c>
    </row>
    <row r="95" spans="1:19" x14ac:dyDescent="0.3">
      <c r="A95" s="34" t="s">
        <v>60</v>
      </c>
      <c r="B95" s="34" t="s">
        <v>75</v>
      </c>
      <c r="C95" s="34" t="s">
        <v>76</v>
      </c>
      <c r="D95" s="34" t="s">
        <v>78</v>
      </c>
      <c r="E95" s="37">
        <f t="shared" ref="E95:E158" si="12">SUMIFS(d_rev,d_date,"&gt;="&amp;$B$9,d_date,"&lt;="&amp;$B$10,d_plat,$C$4,d_type,$C$7,d_ind,$C$5,d_ctry,$C$6,d_plat,$A95,d_type,$B95,d_ind,$C95,d_ctry,$D95)</f>
        <v>157298.69</v>
      </c>
      <c r="F95" s="37">
        <f t="shared" ref="F95:F158" si="13">E95+ROW()*0.0000001</f>
        <v>157298.69000950002</v>
      </c>
      <c r="G95" s="34"/>
      <c r="H95" s="34">
        <v>1</v>
      </c>
      <c r="I95" s="34">
        <f t="shared" ref="I95:I104" si="14">LARGE($F$95:$F$514,H95)</f>
        <v>614423.03001790005</v>
      </c>
      <c r="J95" s="34">
        <f t="shared" ref="J95:J104" si="15">MATCH(I95,$F$95:$F$514,0)</f>
        <v>85</v>
      </c>
      <c r="K95" s="34" t="str">
        <f t="shared" ref="K95:K104" si="16">IF(INDEX($E$95:$E$514,$J95)&gt;0,INDEX($A$95:$A$514,$J95),"")</f>
        <v>Google Ads</v>
      </c>
      <c r="L95" s="34" t="str">
        <f t="shared" ref="L95:L104" si="17">IF(INDEX($E$95:$E$514,$J95)&gt;0,INDEX($B$95:$B$514,$J95),"")</f>
        <v>Shopping</v>
      </c>
      <c r="M95" s="34" t="str">
        <f t="shared" ref="M95:M104" si="18">IF(INDEX($E$95:$E$514,$J95)&gt;0,INDEX($C$95:$C$514,$J95),"")</f>
        <v>Fintech</v>
      </c>
      <c r="N95" s="34" t="str">
        <f t="shared" ref="N95:N104" si="19">IF(INDEX($E$95:$E$514,$J95)&gt;0,INDEX($D$95:$D$514,$J95),"")</f>
        <v>Australia</v>
      </c>
      <c r="O95" s="42">
        <f t="shared" ref="O95:O104" si="20">IF($K95="","",SUMIFS(d_spend,d_date,"&gt;="&amp;$B$9,d_date,"&lt;="&amp;$B$10,d_plat,$C$4,d_type,$C$7,d_ind,$C$5,d_ctry,$C$6,d_plat,$K95,d_type,$L95,d_ind,$M95,d_ctry,$N95))</f>
        <v>135409.45000000001</v>
      </c>
      <c r="P95" s="35">
        <f t="shared" ref="P95:P104" si="21">IF($K95="","",SUMIFS(d_conv,d_date,"&gt;="&amp;$B$9,d_date,"&lt;="&amp;$B$10,d_plat,$C$4,d_type,$C$7,d_ind,$C$5,d_ctry,$C$6,d_plat,$K95,d_type,$L95,d_ind,$M95,d_ctry,$N95))</f>
        <v>3128</v>
      </c>
      <c r="Q95" s="42">
        <f t="shared" ref="Q95:Q104" si="22">IF($K95="","",SUMIFS(d_rev,d_date,"&gt;="&amp;$B$9,d_date,"&lt;="&amp;$B$10,d_plat,$C$4,d_type,$C$7,d_ind,$C$5,d_ctry,$C$6,d_plat,$K95,d_type,$L95,d_ind,$M95,d_ctry,$N95))</f>
        <v>614423.03</v>
      </c>
      <c r="R95" s="38">
        <f t="shared" ref="R95:R104" si="23">IF($K95="","",IFERROR(Q95/O95,0))</f>
        <v>4.5375195748893447</v>
      </c>
      <c r="S95" s="37">
        <f t="shared" ref="S95:S104" si="24">IF($K95="","",IFERROR(O95/P95,0))</f>
        <v>43.289466112531976</v>
      </c>
    </row>
    <row r="96" spans="1:19" x14ac:dyDescent="0.3">
      <c r="A96" s="34" t="s">
        <v>60</v>
      </c>
      <c r="B96" s="34" t="s">
        <v>75</v>
      </c>
      <c r="C96" s="34" t="s">
        <v>76</v>
      </c>
      <c r="D96" s="34" t="s">
        <v>73</v>
      </c>
      <c r="E96" s="37">
        <f t="shared" si="12"/>
        <v>263630.32</v>
      </c>
      <c r="F96" s="37">
        <f t="shared" si="13"/>
        <v>263630.32000960002</v>
      </c>
      <c r="G96" s="34"/>
      <c r="H96" s="34">
        <v>2</v>
      </c>
      <c r="I96" s="34">
        <f t="shared" si="14"/>
        <v>517884.410049</v>
      </c>
      <c r="J96" s="34">
        <f t="shared" si="15"/>
        <v>396</v>
      </c>
      <c r="K96" s="34" t="str">
        <f t="shared" si="16"/>
        <v>TikTok Ads</v>
      </c>
      <c r="L96" s="34" t="str">
        <f t="shared" si="17"/>
        <v>Video</v>
      </c>
      <c r="M96" s="34" t="str">
        <f t="shared" si="18"/>
        <v>EdTech</v>
      </c>
      <c r="N96" s="34" t="str">
        <f t="shared" si="19"/>
        <v>India</v>
      </c>
      <c r="O96" s="42">
        <f t="shared" si="20"/>
        <v>58952.209999999992</v>
      </c>
      <c r="P96" s="35">
        <f t="shared" si="21"/>
        <v>2630</v>
      </c>
      <c r="Q96" s="42">
        <f t="shared" si="22"/>
        <v>517884.41</v>
      </c>
      <c r="R96" s="38">
        <f t="shared" si="23"/>
        <v>8.7848175666357555</v>
      </c>
      <c r="S96" s="37">
        <f t="shared" si="24"/>
        <v>22.415288973384026</v>
      </c>
    </row>
    <row r="97" spans="1:19" x14ac:dyDescent="0.3">
      <c r="A97" s="34" t="s">
        <v>60</v>
      </c>
      <c r="B97" s="34" t="s">
        <v>75</v>
      </c>
      <c r="C97" s="34" t="s">
        <v>76</v>
      </c>
      <c r="D97" s="34" t="s">
        <v>72</v>
      </c>
      <c r="E97" s="37">
        <f t="shared" si="12"/>
        <v>185143.55</v>
      </c>
      <c r="F97" s="37">
        <f t="shared" si="13"/>
        <v>185143.55000969997</v>
      </c>
      <c r="G97" s="34"/>
      <c r="H97" s="34">
        <v>3</v>
      </c>
      <c r="I97" s="34">
        <f t="shared" si="14"/>
        <v>490495.75004010001</v>
      </c>
      <c r="J97" s="34">
        <f t="shared" si="15"/>
        <v>307</v>
      </c>
      <c r="K97" s="34" t="str">
        <f t="shared" si="16"/>
        <v>TikTok Ads</v>
      </c>
      <c r="L97" s="34" t="str">
        <f t="shared" si="17"/>
        <v>Display</v>
      </c>
      <c r="M97" s="34" t="str">
        <f t="shared" si="18"/>
        <v>Healthcare</v>
      </c>
      <c r="N97" s="34" t="str">
        <f t="shared" si="19"/>
        <v>UK</v>
      </c>
      <c r="O97" s="42">
        <f t="shared" si="20"/>
        <v>37769.39</v>
      </c>
      <c r="P97" s="35">
        <f t="shared" si="21"/>
        <v>2246</v>
      </c>
      <c r="Q97" s="42">
        <f t="shared" si="22"/>
        <v>490495.75</v>
      </c>
      <c r="R97" s="38">
        <f t="shared" si="23"/>
        <v>12.98659443533507</v>
      </c>
      <c r="S97" s="37">
        <f t="shared" si="24"/>
        <v>16.816291184327692</v>
      </c>
    </row>
    <row r="98" spans="1:19" x14ac:dyDescent="0.3">
      <c r="A98" s="34" t="s">
        <v>60</v>
      </c>
      <c r="B98" s="34" t="s">
        <v>75</v>
      </c>
      <c r="C98" s="34" t="s">
        <v>76</v>
      </c>
      <c r="D98" s="34" t="s">
        <v>77</v>
      </c>
      <c r="E98" s="37">
        <f t="shared" si="12"/>
        <v>21381.4</v>
      </c>
      <c r="F98" s="37">
        <f t="shared" si="13"/>
        <v>21381.4000098</v>
      </c>
      <c r="G98" s="34"/>
      <c r="H98" s="34">
        <v>4</v>
      </c>
      <c r="I98" s="34">
        <f t="shared" si="14"/>
        <v>457394.25001969998</v>
      </c>
      <c r="J98" s="34">
        <f t="shared" si="15"/>
        <v>103</v>
      </c>
      <c r="K98" s="34" t="str">
        <f t="shared" si="16"/>
        <v>Google Ads</v>
      </c>
      <c r="L98" s="34" t="str">
        <f t="shared" si="17"/>
        <v>Shopping</v>
      </c>
      <c r="M98" s="34" t="str">
        <f t="shared" si="18"/>
        <v>SaaS</v>
      </c>
      <c r="N98" s="34" t="str">
        <f t="shared" si="19"/>
        <v>UAE</v>
      </c>
      <c r="O98" s="42">
        <f t="shared" si="20"/>
        <v>97854.09</v>
      </c>
      <c r="P98" s="35">
        <f t="shared" si="21"/>
        <v>2161</v>
      </c>
      <c r="Q98" s="42">
        <f t="shared" si="22"/>
        <v>457394.25</v>
      </c>
      <c r="R98" s="38">
        <f t="shared" si="23"/>
        <v>4.6742476476966885</v>
      </c>
      <c r="S98" s="37">
        <f t="shared" si="24"/>
        <v>45.281855622397039</v>
      </c>
    </row>
    <row r="99" spans="1:19" x14ac:dyDescent="0.3">
      <c r="A99" s="34" t="s">
        <v>60</v>
      </c>
      <c r="B99" s="34" t="s">
        <v>75</v>
      </c>
      <c r="C99" s="34" t="s">
        <v>76</v>
      </c>
      <c r="D99" s="34" t="s">
        <v>63</v>
      </c>
      <c r="E99" s="37">
        <f t="shared" si="12"/>
        <v>141890.77000000002</v>
      </c>
      <c r="F99" s="37">
        <f t="shared" si="13"/>
        <v>141890.77000990001</v>
      </c>
      <c r="G99" s="34"/>
      <c r="H99" s="34">
        <v>5</v>
      </c>
      <c r="I99" s="34">
        <f t="shared" si="14"/>
        <v>450585.57002290001</v>
      </c>
      <c r="J99" s="34">
        <f t="shared" si="15"/>
        <v>135</v>
      </c>
      <c r="K99" s="34" t="str">
        <f t="shared" si="16"/>
        <v>Google Ads</v>
      </c>
      <c r="L99" s="34" t="str">
        <f t="shared" si="17"/>
        <v>Video</v>
      </c>
      <c r="M99" s="34" t="str">
        <f t="shared" si="18"/>
        <v>SaaS</v>
      </c>
      <c r="N99" s="34" t="str">
        <f t="shared" si="19"/>
        <v>Canada</v>
      </c>
      <c r="O99" s="42">
        <f t="shared" si="20"/>
        <v>135248.69999999998</v>
      </c>
      <c r="P99" s="35">
        <f t="shared" si="21"/>
        <v>2627</v>
      </c>
      <c r="Q99" s="42">
        <f t="shared" si="22"/>
        <v>450585.57</v>
      </c>
      <c r="R99" s="38">
        <f t="shared" si="23"/>
        <v>3.331533463907602</v>
      </c>
      <c r="S99" s="37">
        <f t="shared" si="24"/>
        <v>51.484088313665772</v>
      </c>
    </row>
    <row r="100" spans="1:19" x14ac:dyDescent="0.3">
      <c r="A100" s="34" t="s">
        <v>60</v>
      </c>
      <c r="B100" s="34" t="s">
        <v>75</v>
      </c>
      <c r="C100" s="34" t="s">
        <v>76</v>
      </c>
      <c r="D100" s="34" t="s">
        <v>66</v>
      </c>
      <c r="E100" s="37">
        <f t="shared" si="12"/>
        <v>51027.8</v>
      </c>
      <c r="F100" s="37">
        <f t="shared" si="13"/>
        <v>51027.800010000006</v>
      </c>
      <c r="G100" s="34"/>
      <c r="H100" s="34">
        <v>6</v>
      </c>
      <c r="I100" s="34">
        <f t="shared" si="14"/>
        <v>448558.22004759999</v>
      </c>
      <c r="J100" s="34">
        <f t="shared" si="15"/>
        <v>382</v>
      </c>
      <c r="K100" s="34" t="str">
        <f t="shared" si="16"/>
        <v>TikTok Ads</v>
      </c>
      <c r="L100" s="34" t="str">
        <f t="shared" si="17"/>
        <v>Shopping</v>
      </c>
      <c r="M100" s="34" t="str">
        <f t="shared" si="18"/>
        <v>SaaS</v>
      </c>
      <c r="N100" s="34" t="str">
        <f t="shared" si="19"/>
        <v>India</v>
      </c>
      <c r="O100" s="42">
        <f t="shared" si="20"/>
        <v>47080.55</v>
      </c>
      <c r="P100" s="35">
        <f t="shared" si="21"/>
        <v>2630</v>
      </c>
      <c r="Q100" s="42">
        <f t="shared" si="22"/>
        <v>448558.22</v>
      </c>
      <c r="R100" s="38">
        <f t="shared" si="23"/>
        <v>9.5274634642118663</v>
      </c>
      <c r="S100" s="37">
        <f t="shared" si="24"/>
        <v>17.901349809885932</v>
      </c>
    </row>
    <row r="101" spans="1:19" x14ac:dyDescent="0.3">
      <c r="A101" s="34" t="s">
        <v>60</v>
      </c>
      <c r="B101" s="34" t="s">
        <v>75</v>
      </c>
      <c r="C101" s="34" t="s">
        <v>76</v>
      </c>
      <c r="D101" s="34" t="s">
        <v>69</v>
      </c>
      <c r="E101" s="37">
        <f t="shared" si="12"/>
        <v>17587.91</v>
      </c>
      <c r="F101" s="37">
        <f t="shared" si="13"/>
        <v>17587.9100101</v>
      </c>
      <c r="G101" s="34"/>
      <c r="H101" s="34">
        <v>7</v>
      </c>
      <c r="I101" s="34">
        <f t="shared" si="14"/>
        <v>447198.87004110002</v>
      </c>
      <c r="J101" s="34">
        <f t="shared" si="15"/>
        <v>317</v>
      </c>
      <c r="K101" s="34" t="str">
        <f t="shared" si="16"/>
        <v>TikTok Ads</v>
      </c>
      <c r="L101" s="34" t="str">
        <f t="shared" si="17"/>
        <v>Search</v>
      </c>
      <c r="M101" s="34" t="str">
        <f t="shared" si="18"/>
        <v>E-commerce</v>
      </c>
      <c r="N101" s="34" t="str">
        <f t="shared" si="19"/>
        <v>Canada</v>
      </c>
      <c r="O101" s="42">
        <f t="shared" si="20"/>
        <v>48942</v>
      </c>
      <c r="P101" s="35">
        <f t="shared" si="21"/>
        <v>2157</v>
      </c>
      <c r="Q101" s="42">
        <f t="shared" si="22"/>
        <v>447198.87</v>
      </c>
      <c r="R101" s="38">
        <f t="shared" si="23"/>
        <v>9.1373231580237828</v>
      </c>
      <c r="S101" s="37">
        <f t="shared" si="24"/>
        <v>22.689847009735743</v>
      </c>
    </row>
    <row r="102" spans="1:19" x14ac:dyDescent="0.3">
      <c r="A102" s="34" t="s">
        <v>60</v>
      </c>
      <c r="B102" s="34" t="s">
        <v>75</v>
      </c>
      <c r="C102" s="34" t="s">
        <v>65</v>
      </c>
      <c r="D102" s="34" t="s">
        <v>78</v>
      </c>
      <c r="E102" s="37">
        <f t="shared" si="12"/>
        <v>181709.15</v>
      </c>
      <c r="F102" s="37">
        <f t="shared" si="13"/>
        <v>181709.15001019998</v>
      </c>
      <c r="G102" s="34"/>
      <c r="H102" s="34">
        <v>8</v>
      </c>
      <c r="I102" s="34">
        <f t="shared" si="14"/>
        <v>438104.10004660004</v>
      </c>
      <c r="J102" s="34">
        <f t="shared" si="15"/>
        <v>372</v>
      </c>
      <c r="K102" s="34" t="str">
        <f t="shared" si="16"/>
        <v>TikTok Ads</v>
      </c>
      <c r="L102" s="34" t="str">
        <f t="shared" si="17"/>
        <v>Shopping</v>
      </c>
      <c r="M102" s="34" t="str">
        <f t="shared" si="18"/>
        <v>Healthcare</v>
      </c>
      <c r="N102" s="34" t="str">
        <f t="shared" si="19"/>
        <v>Australia</v>
      </c>
      <c r="O102" s="42">
        <f t="shared" si="20"/>
        <v>57265.14</v>
      </c>
      <c r="P102" s="35">
        <f t="shared" si="21"/>
        <v>2671</v>
      </c>
      <c r="Q102" s="42">
        <f t="shared" si="22"/>
        <v>438104.10000000003</v>
      </c>
      <c r="R102" s="38">
        <f t="shared" si="23"/>
        <v>7.6504501691605054</v>
      </c>
      <c r="S102" s="37">
        <f t="shared" si="24"/>
        <v>21.439588169225008</v>
      </c>
    </row>
    <row r="103" spans="1:19" x14ac:dyDescent="0.3">
      <c r="A103" s="34" t="s">
        <v>60</v>
      </c>
      <c r="B103" s="34" t="s">
        <v>75</v>
      </c>
      <c r="C103" s="34" t="s">
        <v>65</v>
      </c>
      <c r="D103" s="34" t="s">
        <v>73</v>
      </c>
      <c r="E103" s="37">
        <f t="shared" si="12"/>
        <v>276111.70999999996</v>
      </c>
      <c r="F103" s="37">
        <f t="shared" si="13"/>
        <v>276111.71001029998</v>
      </c>
      <c r="G103" s="34"/>
      <c r="H103" s="34">
        <v>9</v>
      </c>
      <c r="I103" s="34">
        <f t="shared" si="14"/>
        <v>428403.470042</v>
      </c>
      <c r="J103" s="34">
        <f t="shared" si="15"/>
        <v>326</v>
      </c>
      <c r="K103" s="34" t="str">
        <f t="shared" si="16"/>
        <v>TikTok Ads</v>
      </c>
      <c r="L103" s="34" t="str">
        <f t="shared" si="17"/>
        <v>Search</v>
      </c>
      <c r="M103" s="34" t="str">
        <f t="shared" si="18"/>
        <v>EdTech</v>
      </c>
      <c r="N103" s="34" t="str">
        <f t="shared" si="19"/>
        <v>India</v>
      </c>
      <c r="O103" s="42">
        <f t="shared" si="20"/>
        <v>45802.069999999992</v>
      </c>
      <c r="P103" s="35">
        <f t="shared" si="21"/>
        <v>2125</v>
      </c>
      <c r="Q103" s="42">
        <f t="shared" si="22"/>
        <v>428403.47</v>
      </c>
      <c r="R103" s="38">
        <f t="shared" si="23"/>
        <v>9.3533648151710178</v>
      </c>
      <c r="S103" s="37">
        <f t="shared" si="24"/>
        <v>21.553915294117644</v>
      </c>
    </row>
    <row r="104" spans="1:19" x14ac:dyDescent="0.3">
      <c r="A104" s="34" t="s">
        <v>60</v>
      </c>
      <c r="B104" s="34" t="s">
        <v>75</v>
      </c>
      <c r="C104" s="34" t="s">
        <v>65</v>
      </c>
      <c r="D104" s="34" t="s">
        <v>72</v>
      </c>
      <c r="E104" s="37">
        <f t="shared" si="12"/>
        <v>83209</v>
      </c>
      <c r="F104" s="37">
        <f t="shared" si="13"/>
        <v>83209.000010400006</v>
      </c>
      <c r="G104" s="34"/>
      <c r="H104" s="34">
        <v>10</v>
      </c>
      <c r="I104" s="34">
        <f t="shared" si="14"/>
        <v>421658.46001359995</v>
      </c>
      <c r="J104" s="34">
        <f t="shared" si="15"/>
        <v>42</v>
      </c>
      <c r="K104" s="34" t="str">
        <f t="shared" si="16"/>
        <v>Google Ads</v>
      </c>
      <c r="L104" s="34" t="str">
        <f t="shared" si="17"/>
        <v>Search</v>
      </c>
      <c r="M104" s="34" t="str">
        <f t="shared" si="18"/>
        <v>E-commerce</v>
      </c>
      <c r="N104" s="34" t="str">
        <f t="shared" si="19"/>
        <v>USA</v>
      </c>
      <c r="O104" s="42">
        <f t="shared" si="20"/>
        <v>70377.179999999993</v>
      </c>
      <c r="P104" s="35">
        <f t="shared" si="21"/>
        <v>2467</v>
      </c>
      <c r="Q104" s="42">
        <f t="shared" si="22"/>
        <v>421658.45999999996</v>
      </c>
      <c r="R104" s="38">
        <f t="shared" si="23"/>
        <v>5.9914088629297169</v>
      </c>
      <c r="S104" s="37">
        <f t="shared" si="24"/>
        <v>28.527434130522899</v>
      </c>
    </row>
    <row r="105" spans="1:19" x14ac:dyDescent="0.3">
      <c r="A105" s="34" t="s">
        <v>60</v>
      </c>
      <c r="B105" s="34" t="s">
        <v>75</v>
      </c>
      <c r="C105" s="34" t="s">
        <v>65</v>
      </c>
      <c r="D105" s="34" t="s">
        <v>77</v>
      </c>
      <c r="E105" s="37">
        <f t="shared" si="12"/>
        <v>123706.54000000001</v>
      </c>
      <c r="F105" s="37">
        <f t="shared" si="13"/>
        <v>123706.54001050002</v>
      </c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</row>
    <row r="106" spans="1:19" x14ac:dyDescent="0.3">
      <c r="A106" s="34" t="s">
        <v>60</v>
      </c>
      <c r="B106" s="34" t="s">
        <v>75</v>
      </c>
      <c r="C106" s="34" t="s">
        <v>65</v>
      </c>
      <c r="D106" s="34" t="s">
        <v>63</v>
      </c>
      <c r="E106" s="37">
        <f t="shared" si="12"/>
        <v>86683.72</v>
      </c>
      <c r="F106" s="37">
        <f t="shared" si="13"/>
        <v>86683.720010599995</v>
      </c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</row>
    <row r="107" spans="1:19" x14ac:dyDescent="0.3">
      <c r="A107" s="34" t="s">
        <v>60</v>
      </c>
      <c r="B107" s="34" t="s">
        <v>75</v>
      </c>
      <c r="C107" s="34" t="s">
        <v>65</v>
      </c>
      <c r="D107" s="34" t="s">
        <v>66</v>
      </c>
      <c r="E107" s="37">
        <f t="shared" si="12"/>
        <v>124960.49</v>
      </c>
      <c r="F107" s="37">
        <f t="shared" si="13"/>
        <v>124960.4900107</v>
      </c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</row>
    <row r="108" spans="1:19" x14ac:dyDescent="0.3">
      <c r="A108" s="34" t="s">
        <v>60</v>
      </c>
      <c r="B108" s="34" t="s">
        <v>75</v>
      </c>
      <c r="C108" s="34" t="s">
        <v>65</v>
      </c>
      <c r="D108" s="34" t="s">
        <v>69</v>
      </c>
      <c r="E108" s="37">
        <f t="shared" si="12"/>
        <v>118683.61999999998</v>
      </c>
      <c r="F108" s="37">
        <f t="shared" si="13"/>
        <v>118683.62001079998</v>
      </c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</row>
    <row r="109" spans="1:19" x14ac:dyDescent="0.3">
      <c r="A109" s="34" t="s">
        <v>60</v>
      </c>
      <c r="B109" s="34" t="s">
        <v>75</v>
      </c>
      <c r="C109" s="34" t="s">
        <v>62</v>
      </c>
      <c r="D109" s="34" t="s">
        <v>78</v>
      </c>
      <c r="E109" s="37">
        <f t="shared" si="12"/>
        <v>132510.57999999999</v>
      </c>
      <c r="F109" s="37">
        <f t="shared" si="13"/>
        <v>132510.58001089998</v>
      </c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</row>
    <row r="110" spans="1:19" x14ac:dyDescent="0.3">
      <c r="A110" s="34" t="s">
        <v>60</v>
      </c>
      <c r="B110" s="34" t="s">
        <v>75</v>
      </c>
      <c r="C110" s="34" t="s">
        <v>62</v>
      </c>
      <c r="D110" s="34" t="s">
        <v>73</v>
      </c>
      <c r="E110" s="37">
        <f t="shared" si="12"/>
        <v>149159.22</v>
      </c>
      <c r="F110" s="37">
        <f t="shared" si="13"/>
        <v>149159.220011</v>
      </c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</row>
    <row r="111" spans="1:19" x14ac:dyDescent="0.3">
      <c r="A111" s="34" t="s">
        <v>60</v>
      </c>
      <c r="B111" s="34" t="s">
        <v>75</v>
      </c>
      <c r="C111" s="34" t="s">
        <v>62</v>
      </c>
      <c r="D111" s="34" t="s">
        <v>72</v>
      </c>
      <c r="E111" s="37">
        <f t="shared" si="12"/>
        <v>193180.40999999997</v>
      </c>
      <c r="F111" s="37">
        <f t="shared" si="13"/>
        <v>193180.41001109997</v>
      </c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</row>
    <row r="112" spans="1:19" x14ac:dyDescent="0.3">
      <c r="A112" s="34" t="s">
        <v>60</v>
      </c>
      <c r="B112" s="34" t="s">
        <v>75</v>
      </c>
      <c r="C112" s="34" t="s">
        <v>62</v>
      </c>
      <c r="D112" s="34" t="s">
        <v>77</v>
      </c>
      <c r="E112" s="37">
        <f t="shared" si="12"/>
        <v>95433.14</v>
      </c>
      <c r="F112" s="37">
        <f t="shared" si="13"/>
        <v>95433.140011199997</v>
      </c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</row>
    <row r="113" spans="1:19" x14ac:dyDescent="0.3">
      <c r="A113" s="34" t="s">
        <v>60</v>
      </c>
      <c r="B113" s="34" t="s">
        <v>75</v>
      </c>
      <c r="C113" s="34" t="s">
        <v>62</v>
      </c>
      <c r="D113" s="34" t="s">
        <v>63</v>
      </c>
      <c r="E113" s="37">
        <f t="shared" si="12"/>
        <v>215019.83999999997</v>
      </c>
      <c r="F113" s="37">
        <f t="shared" si="13"/>
        <v>215019.84001129997</v>
      </c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</row>
    <row r="114" spans="1:19" x14ac:dyDescent="0.3">
      <c r="A114" s="34" t="s">
        <v>60</v>
      </c>
      <c r="B114" s="34" t="s">
        <v>75</v>
      </c>
      <c r="C114" s="34" t="s">
        <v>62</v>
      </c>
      <c r="D114" s="34" t="s">
        <v>66</v>
      </c>
      <c r="E114" s="37">
        <f t="shared" si="12"/>
        <v>155877.09</v>
      </c>
      <c r="F114" s="37">
        <f t="shared" si="13"/>
        <v>155877.0900114</v>
      </c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</row>
    <row r="115" spans="1:19" x14ac:dyDescent="0.3">
      <c r="A115" s="34" t="s">
        <v>60</v>
      </c>
      <c r="B115" s="34" t="s">
        <v>75</v>
      </c>
      <c r="C115" s="34" t="s">
        <v>62</v>
      </c>
      <c r="D115" s="34" t="s">
        <v>69</v>
      </c>
      <c r="E115" s="37">
        <f t="shared" si="12"/>
        <v>95644.25</v>
      </c>
      <c r="F115" s="37">
        <f t="shared" si="13"/>
        <v>95644.2500115</v>
      </c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</row>
    <row r="116" spans="1:19" x14ac:dyDescent="0.3">
      <c r="A116" s="34" t="s">
        <v>60</v>
      </c>
      <c r="B116" s="34" t="s">
        <v>75</v>
      </c>
      <c r="C116" s="34" t="s">
        <v>68</v>
      </c>
      <c r="D116" s="34" t="s">
        <v>78</v>
      </c>
      <c r="E116" s="37">
        <f t="shared" si="12"/>
        <v>382800.84</v>
      </c>
      <c r="F116" s="37">
        <f t="shared" si="13"/>
        <v>382800.8400116</v>
      </c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</row>
    <row r="117" spans="1:19" x14ac:dyDescent="0.3">
      <c r="A117" s="34" t="s">
        <v>60</v>
      </c>
      <c r="B117" s="34" t="s">
        <v>75</v>
      </c>
      <c r="C117" s="34" t="s">
        <v>68</v>
      </c>
      <c r="D117" s="34" t="s">
        <v>73</v>
      </c>
      <c r="E117" s="37">
        <f t="shared" si="12"/>
        <v>73900.02</v>
      </c>
      <c r="F117" s="37">
        <f t="shared" si="13"/>
        <v>73900.020011700006</v>
      </c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</row>
    <row r="118" spans="1:19" x14ac:dyDescent="0.3">
      <c r="A118" s="34" t="s">
        <v>60</v>
      </c>
      <c r="B118" s="34" t="s">
        <v>75</v>
      </c>
      <c r="C118" s="34" t="s">
        <v>68</v>
      </c>
      <c r="D118" s="34" t="s">
        <v>72</v>
      </c>
      <c r="E118" s="37">
        <f t="shared" si="12"/>
        <v>117576.86</v>
      </c>
      <c r="F118" s="37">
        <f t="shared" si="13"/>
        <v>117576.8600118</v>
      </c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</row>
    <row r="119" spans="1:19" x14ac:dyDescent="0.3">
      <c r="A119" s="34" t="s">
        <v>60</v>
      </c>
      <c r="B119" s="34" t="s">
        <v>75</v>
      </c>
      <c r="C119" s="34" t="s">
        <v>68</v>
      </c>
      <c r="D119" s="34" t="s">
        <v>77</v>
      </c>
      <c r="E119" s="37">
        <f t="shared" si="12"/>
        <v>131838.19999999998</v>
      </c>
      <c r="F119" s="37">
        <f t="shared" si="13"/>
        <v>131838.20001189999</v>
      </c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</row>
    <row r="120" spans="1:19" x14ac:dyDescent="0.3">
      <c r="A120" s="34" t="s">
        <v>60</v>
      </c>
      <c r="B120" s="34" t="s">
        <v>75</v>
      </c>
      <c r="C120" s="34" t="s">
        <v>68</v>
      </c>
      <c r="D120" s="34" t="s">
        <v>63</v>
      </c>
      <c r="E120" s="37">
        <f t="shared" si="12"/>
        <v>97220.26</v>
      </c>
      <c r="F120" s="37">
        <f t="shared" si="13"/>
        <v>97220.260011999999</v>
      </c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</row>
    <row r="121" spans="1:19" x14ac:dyDescent="0.3">
      <c r="A121" s="34" t="s">
        <v>60</v>
      </c>
      <c r="B121" s="34" t="s">
        <v>75</v>
      </c>
      <c r="C121" s="34" t="s">
        <v>68</v>
      </c>
      <c r="D121" s="34" t="s">
        <v>66</v>
      </c>
      <c r="E121" s="37">
        <f t="shared" si="12"/>
        <v>145457.01</v>
      </c>
      <c r="F121" s="37">
        <f t="shared" si="13"/>
        <v>145457.01001210001</v>
      </c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</row>
    <row r="122" spans="1:19" x14ac:dyDescent="0.3">
      <c r="A122" s="34" t="s">
        <v>60</v>
      </c>
      <c r="B122" s="34" t="s">
        <v>75</v>
      </c>
      <c r="C122" s="34" t="s">
        <v>68</v>
      </c>
      <c r="D122" s="34" t="s">
        <v>69</v>
      </c>
      <c r="E122" s="37">
        <f t="shared" si="12"/>
        <v>153180.16</v>
      </c>
      <c r="F122" s="37">
        <f t="shared" si="13"/>
        <v>153180.16001220001</v>
      </c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</row>
    <row r="123" spans="1:19" x14ac:dyDescent="0.3">
      <c r="A123" s="34" t="s">
        <v>60</v>
      </c>
      <c r="B123" s="34" t="s">
        <v>75</v>
      </c>
      <c r="C123" s="34" t="s">
        <v>71</v>
      </c>
      <c r="D123" s="34" t="s">
        <v>78</v>
      </c>
      <c r="E123" s="37">
        <f t="shared" si="12"/>
        <v>171050.83</v>
      </c>
      <c r="F123" s="37">
        <f t="shared" si="13"/>
        <v>171050.83001229999</v>
      </c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</row>
    <row r="124" spans="1:19" x14ac:dyDescent="0.3">
      <c r="A124" s="34" t="s">
        <v>60</v>
      </c>
      <c r="B124" s="34" t="s">
        <v>75</v>
      </c>
      <c r="C124" s="34" t="s">
        <v>71</v>
      </c>
      <c r="D124" s="34" t="s">
        <v>73</v>
      </c>
      <c r="E124" s="37">
        <f t="shared" si="12"/>
        <v>114214.90999999999</v>
      </c>
      <c r="F124" s="37">
        <f t="shared" si="13"/>
        <v>114214.9100124</v>
      </c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</row>
    <row r="125" spans="1:19" x14ac:dyDescent="0.3">
      <c r="A125" s="34" t="s">
        <v>60</v>
      </c>
      <c r="B125" s="34" t="s">
        <v>75</v>
      </c>
      <c r="C125" s="34" t="s">
        <v>71</v>
      </c>
      <c r="D125" s="34" t="s">
        <v>72</v>
      </c>
      <c r="E125" s="37">
        <f t="shared" si="12"/>
        <v>144961.48000000001</v>
      </c>
      <c r="F125" s="37">
        <f t="shared" si="13"/>
        <v>144961.48001250002</v>
      </c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</row>
    <row r="126" spans="1:19" x14ac:dyDescent="0.3">
      <c r="A126" s="34" t="s">
        <v>60</v>
      </c>
      <c r="B126" s="34" t="s">
        <v>75</v>
      </c>
      <c r="C126" s="34" t="s">
        <v>71</v>
      </c>
      <c r="D126" s="34" t="s">
        <v>77</v>
      </c>
      <c r="E126" s="37">
        <f t="shared" si="12"/>
        <v>93565.450000000012</v>
      </c>
      <c r="F126" s="37">
        <f t="shared" si="13"/>
        <v>93565.450012600006</v>
      </c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</row>
    <row r="127" spans="1:19" x14ac:dyDescent="0.3">
      <c r="A127" s="34" t="s">
        <v>60</v>
      </c>
      <c r="B127" s="34" t="s">
        <v>75</v>
      </c>
      <c r="C127" s="34" t="s">
        <v>71</v>
      </c>
      <c r="D127" s="34" t="s">
        <v>63</v>
      </c>
      <c r="E127" s="37">
        <f t="shared" si="12"/>
        <v>116612.57</v>
      </c>
      <c r="F127" s="37">
        <f t="shared" si="13"/>
        <v>116612.5700127</v>
      </c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</row>
    <row r="128" spans="1:19" x14ac:dyDescent="0.3">
      <c r="A128" s="34" t="s">
        <v>60</v>
      </c>
      <c r="B128" s="34" t="s">
        <v>75</v>
      </c>
      <c r="C128" s="34" t="s">
        <v>71</v>
      </c>
      <c r="D128" s="34" t="s">
        <v>66</v>
      </c>
      <c r="E128" s="37">
        <f t="shared" si="12"/>
        <v>23590.83</v>
      </c>
      <c r="F128" s="37">
        <f t="shared" si="13"/>
        <v>23590.830012800001</v>
      </c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</row>
    <row r="129" spans="1:19" x14ac:dyDescent="0.3">
      <c r="A129" s="34" t="s">
        <v>60</v>
      </c>
      <c r="B129" s="34" t="s">
        <v>75</v>
      </c>
      <c r="C129" s="34" t="s">
        <v>71</v>
      </c>
      <c r="D129" s="34" t="s">
        <v>69</v>
      </c>
      <c r="E129" s="37">
        <f t="shared" si="12"/>
        <v>39102.729999999996</v>
      </c>
      <c r="F129" s="37">
        <f t="shared" si="13"/>
        <v>39102.730012899992</v>
      </c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</row>
    <row r="130" spans="1:19" x14ac:dyDescent="0.3">
      <c r="A130" s="34" t="s">
        <v>60</v>
      </c>
      <c r="B130" s="34" t="s">
        <v>61</v>
      </c>
      <c r="C130" s="34" t="s">
        <v>76</v>
      </c>
      <c r="D130" s="34" t="s">
        <v>78</v>
      </c>
      <c r="E130" s="37">
        <f t="shared" si="12"/>
        <v>163640.85</v>
      </c>
      <c r="F130" s="37">
        <f t="shared" si="13"/>
        <v>163640.85001300002</v>
      </c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</row>
    <row r="131" spans="1:19" x14ac:dyDescent="0.3">
      <c r="A131" s="34" t="s">
        <v>60</v>
      </c>
      <c r="B131" s="34" t="s">
        <v>61</v>
      </c>
      <c r="C131" s="34" t="s">
        <v>76</v>
      </c>
      <c r="D131" s="34" t="s">
        <v>73</v>
      </c>
      <c r="E131" s="37">
        <f t="shared" si="12"/>
        <v>58098.21</v>
      </c>
      <c r="F131" s="37">
        <f t="shared" si="13"/>
        <v>58098.210013099997</v>
      </c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</row>
    <row r="132" spans="1:19" x14ac:dyDescent="0.3">
      <c r="A132" s="34" t="s">
        <v>60</v>
      </c>
      <c r="B132" s="34" t="s">
        <v>61</v>
      </c>
      <c r="C132" s="34" t="s">
        <v>76</v>
      </c>
      <c r="D132" s="34" t="s">
        <v>72</v>
      </c>
      <c r="E132" s="37">
        <f t="shared" si="12"/>
        <v>233639.94000000003</v>
      </c>
      <c r="F132" s="37">
        <f t="shared" si="13"/>
        <v>233639.94001320004</v>
      </c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</row>
    <row r="133" spans="1:19" x14ac:dyDescent="0.3">
      <c r="A133" s="34" t="s">
        <v>60</v>
      </c>
      <c r="B133" s="34" t="s">
        <v>61</v>
      </c>
      <c r="C133" s="34" t="s">
        <v>76</v>
      </c>
      <c r="D133" s="34" t="s">
        <v>77</v>
      </c>
      <c r="E133" s="37">
        <f t="shared" si="12"/>
        <v>153311.46999999997</v>
      </c>
      <c r="F133" s="37">
        <f t="shared" si="13"/>
        <v>153311.47001329999</v>
      </c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</row>
    <row r="134" spans="1:19" x14ac:dyDescent="0.3">
      <c r="A134" s="34" t="s">
        <v>60</v>
      </c>
      <c r="B134" s="34" t="s">
        <v>61</v>
      </c>
      <c r="C134" s="34" t="s">
        <v>76</v>
      </c>
      <c r="D134" s="34" t="s">
        <v>63</v>
      </c>
      <c r="E134" s="37">
        <f t="shared" si="12"/>
        <v>272263.49</v>
      </c>
      <c r="F134" s="37">
        <f t="shared" si="13"/>
        <v>272263.49001339998</v>
      </c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</row>
    <row r="135" spans="1:19" x14ac:dyDescent="0.3">
      <c r="A135" s="34" t="s">
        <v>60</v>
      </c>
      <c r="B135" s="34" t="s">
        <v>61</v>
      </c>
      <c r="C135" s="34" t="s">
        <v>76</v>
      </c>
      <c r="D135" s="34" t="s">
        <v>66</v>
      </c>
      <c r="E135" s="37">
        <f t="shared" si="12"/>
        <v>21786.53</v>
      </c>
      <c r="F135" s="37">
        <f t="shared" si="13"/>
        <v>21786.5300135</v>
      </c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</row>
    <row r="136" spans="1:19" x14ac:dyDescent="0.3">
      <c r="A136" s="34" t="s">
        <v>60</v>
      </c>
      <c r="B136" s="34" t="s">
        <v>61</v>
      </c>
      <c r="C136" s="34" t="s">
        <v>76</v>
      </c>
      <c r="D136" s="34" t="s">
        <v>69</v>
      </c>
      <c r="E136" s="37">
        <f t="shared" si="12"/>
        <v>421658.45999999996</v>
      </c>
      <c r="F136" s="37">
        <f t="shared" si="13"/>
        <v>421658.46001359995</v>
      </c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</row>
    <row r="137" spans="1:19" x14ac:dyDescent="0.3">
      <c r="A137" s="34" t="s">
        <v>60</v>
      </c>
      <c r="B137" s="34" t="s">
        <v>61</v>
      </c>
      <c r="C137" s="34" t="s">
        <v>65</v>
      </c>
      <c r="D137" s="34" t="s">
        <v>78</v>
      </c>
      <c r="E137" s="37">
        <f t="shared" si="12"/>
        <v>108620.01999999999</v>
      </c>
      <c r="F137" s="37">
        <f t="shared" si="13"/>
        <v>108620.02001369999</v>
      </c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</row>
    <row r="138" spans="1:19" x14ac:dyDescent="0.3">
      <c r="A138" s="34" t="s">
        <v>60</v>
      </c>
      <c r="B138" s="34" t="s">
        <v>61</v>
      </c>
      <c r="C138" s="34" t="s">
        <v>65</v>
      </c>
      <c r="D138" s="34" t="s">
        <v>73</v>
      </c>
      <c r="E138" s="37">
        <f t="shared" si="12"/>
        <v>178243.88</v>
      </c>
      <c r="F138" s="37">
        <f t="shared" si="13"/>
        <v>178243.88001379999</v>
      </c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</row>
    <row r="139" spans="1:19" x14ac:dyDescent="0.3">
      <c r="A139" s="34" t="s">
        <v>60</v>
      </c>
      <c r="B139" s="34" t="s">
        <v>61</v>
      </c>
      <c r="C139" s="34" t="s">
        <v>65</v>
      </c>
      <c r="D139" s="34" t="s">
        <v>72</v>
      </c>
      <c r="E139" s="37">
        <f t="shared" si="12"/>
        <v>137601.07</v>
      </c>
      <c r="F139" s="37">
        <f t="shared" si="13"/>
        <v>137601.0700139</v>
      </c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</row>
    <row r="140" spans="1:19" x14ac:dyDescent="0.3">
      <c r="A140" s="34" t="s">
        <v>60</v>
      </c>
      <c r="B140" s="34" t="s">
        <v>61</v>
      </c>
      <c r="C140" s="34" t="s">
        <v>65</v>
      </c>
      <c r="D140" s="34" t="s">
        <v>77</v>
      </c>
      <c r="E140" s="37">
        <f t="shared" si="12"/>
        <v>0</v>
      </c>
      <c r="F140" s="37">
        <f t="shared" si="13"/>
        <v>1.4E-5</v>
      </c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</row>
    <row r="141" spans="1:19" x14ac:dyDescent="0.3">
      <c r="A141" s="34" t="s">
        <v>60</v>
      </c>
      <c r="B141" s="34" t="s">
        <v>61</v>
      </c>
      <c r="C141" s="34" t="s">
        <v>65</v>
      </c>
      <c r="D141" s="34" t="s">
        <v>63</v>
      </c>
      <c r="E141" s="37">
        <f t="shared" si="12"/>
        <v>347545.81</v>
      </c>
      <c r="F141" s="37">
        <f t="shared" si="13"/>
        <v>347545.81001409999</v>
      </c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</row>
    <row r="142" spans="1:19" x14ac:dyDescent="0.3">
      <c r="A142" s="34" t="s">
        <v>60</v>
      </c>
      <c r="B142" s="34" t="s">
        <v>61</v>
      </c>
      <c r="C142" s="34" t="s">
        <v>65</v>
      </c>
      <c r="D142" s="34" t="s">
        <v>66</v>
      </c>
      <c r="E142" s="37">
        <f t="shared" si="12"/>
        <v>80578.16</v>
      </c>
      <c r="F142" s="37">
        <f t="shared" si="13"/>
        <v>80578.16001420001</v>
      </c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</row>
    <row r="143" spans="1:19" x14ac:dyDescent="0.3">
      <c r="A143" s="34" t="s">
        <v>60</v>
      </c>
      <c r="B143" s="34" t="s">
        <v>61</v>
      </c>
      <c r="C143" s="34" t="s">
        <v>65</v>
      </c>
      <c r="D143" s="34" t="s">
        <v>69</v>
      </c>
      <c r="E143" s="37">
        <f t="shared" si="12"/>
        <v>248639.84999999998</v>
      </c>
      <c r="F143" s="37">
        <f t="shared" si="13"/>
        <v>248639.85001429997</v>
      </c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</row>
    <row r="144" spans="1:19" x14ac:dyDescent="0.3">
      <c r="A144" s="34" t="s">
        <v>60</v>
      </c>
      <c r="B144" s="34" t="s">
        <v>61</v>
      </c>
      <c r="C144" s="34" t="s">
        <v>62</v>
      </c>
      <c r="D144" s="34" t="s">
        <v>78</v>
      </c>
      <c r="E144" s="37">
        <f t="shared" si="12"/>
        <v>150624.64000000001</v>
      </c>
      <c r="F144" s="37">
        <f t="shared" si="13"/>
        <v>150624.64001440001</v>
      </c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</row>
    <row r="145" spans="1:19" x14ac:dyDescent="0.3">
      <c r="A145" s="34" t="s">
        <v>60</v>
      </c>
      <c r="B145" s="34" t="s">
        <v>61</v>
      </c>
      <c r="C145" s="34" t="s">
        <v>62</v>
      </c>
      <c r="D145" s="34" t="s">
        <v>73</v>
      </c>
      <c r="E145" s="37">
        <f t="shared" si="12"/>
        <v>100991.13</v>
      </c>
      <c r="F145" s="37">
        <f t="shared" si="13"/>
        <v>100991.1300145</v>
      </c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</row>
    <row r="146" spans="1:19" x14ac:dyDescent="0.3">
      <c r="A146" s="34" t="s">
        <v>60</v>
      </c>
      <c r="B146" s="34" t="s">
        <v>61</v>
      </c>
      <c r="C146" s="34" t="s">
        <v>62</v>
      </c>
      <c r="D146" s="34" t="s">
        <v>72</v>
      </c>
      <c r="E146" s="37">
        <f t="shared" si="12"/>
        <v>367979.07000000007</v>
      </c>
      <c r="F146" s="37">
        <f t="shared" si="13"/>
        <v>367979.07001460006</v>
      </c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</row>
    <row r="147" spans="1:19" x14ac:dyDescent="0.3">
      <c r="A147" s="34" t="s">
        <v>60</v>
      </c>
      <c r="B147" s="34" t="s">
        <v>61</v>
      </c>
      <c r="C147" s="34" t="s">
        <v>62</v>
      </c>
      <c r="D147" s="34" t="s">
        <v>77</v>
      </c>
      <c r="E147" s="37">
        <f t="shared" si="12"/>
        <v>218560.53</v>
      </c>
      <c r="F147" s="37">
        <f t="shared" si="13"/>
        <v>218560.53001469999</v>
      </c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</row>
    <row r="148" spans="1:19" x14ac:dyDescent="0.3">
      <c r="A148" s="34" t="s">
        <v>60</v>
      </c>
      <c r="B148" s="34" t="s">
        <v>61</v>
      </c>
      <c r="C148" s="34" t="s">
        <v>62</v>
      </c>
      <c r="D148" s="34" t="s">
        <v>63</v>
      </c>
      <c r="E148" s="37">
        <f t="shared" si="12"/>
        <v>184365.58</v>
      </c>
      <c r="F148" s="37">
        <f t="shared" si="13"/>
        <v>184365.58001479998</v>
      </c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</row>
    <row r="149" spans="1:19" x14ac:dyDescent="0.3">
      <c r="A149" s="34" t="s">
        <v>60</v>
      </c>
      <c r="B149" s="34" t="s">
        <v>61</v>
      </c>
      <c r="C149" s="34" t="s">
        <v>62</v>
      </c>
      <c r="D149" s="34" t="s">
        <v>66</v>
      </c>
      <c r="E149" s="37">
        <f t="shared" si="12"/>
        <v>279568.78999999998</v>
      </c>
      <c r="F149" s="37">
        <f t="shared" si="13"/>
        <v>279568.79001489998</v>
      </c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</row>
    <row r="150" spans="1:19" x14ac:dyDescent="0.3">
      <c r="A150" s="34" t="s">
        <v>60</v>
      </c>
      <c r="B150" s="34" t="s">
        <v>61</v>
      </c>
      <c r="C150" s="34" t="s">
        <v>62</v>
      </c>
      <c r="D150" s="34" t="s">
        <v>69</v>
      </c>
      <c r="E150" s="37">
        <f t="shared" si="12"/>
        <v>137962.53</v>
      </c>
      <c r="F150" s="37">
        <f t="shared" si="13"/>
        <v>137962.530015</v>
      </c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</row>
    <row r="151" spans="1:19" x14ac:dyDescent="0.3">
      <c r="A151" s="34" t="s">
        <v>60</v>
      </c>
      <c r="B151" s="34" t="s">
        <v>61</v>
      </c>
      <c r="C151" s="34" t="s">
        <v>68</v>
      </c>
      <c r="D151" s="34" t="s">
        <v>78</v>
      </c>
      <c r="E151" s="37">
        <f t="shared" si="12"/>
        <v>142845.34999999998</v>
      </c>
      <c r="F151" s="37">
        <f t="shared" si="13"/>
        <v>142845.35001509998</v>
      </c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</row>
    <row r="152" spans="1:19" x14ac:dyDescent="0.3">
      <c r="A152" s="34" t="s">
        <v>60</v>
      </c>
      <c r="B152" s="34" t="s">
        <v>61</v>
      </c>
      <c r="C152" s="34" t="s">
        <v>68</v>
      </c>
      <c r="D152" s="34" t="s">
        <v>73</v>
      </c>
      <c r="E152" s="37">
        <f t="shared" si="12"/>
        <v>44734.659999999996</v>
      </c>
      <c r="F152" s="37">
        <f t="shared" si="13"/>
        <v>44734.660015199996</v>
      </c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</row>
    <row r="153" spans="1:19" x14ac:dyDescent="0.3">
      <c r="A153" s="34" t="s">
        <v>60</v>
      </c>
      <c r="B153" s="34" t="s">
        <v>61</v>
      </c>
      <c r="C153" s="34" t="s">
        <v>68</v>
      </c>
      <c r="D153" s="34" t="s">
        <v>72</v>
      </c>
      <c r="E153" s="37">
        <f t="shared" si="12"/>
        <v>277096.03999999998</v>
      </c>
      <c r="F153" s="37">
        <f t="shared" si="13"/>
        <v>277096.04001529998</v>
      </c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</row>
    <row r="154" spans="1:19" x14ac:dyDescent="0.3">
      <c r="A154" s="34" t="s">
        <v>60</v>
      </c>
      <c r="B154" s="34" t="s">
        <v>61</v>
      </c>
      <c r="C154" s="34" t="s">
        <v>68</v>
      </c>
      <c r="D154" s="34" t="s">
        <v>77</v>
      </c>
      <c r="E154" s="37">
        <f t="shared" si="12"/>
        <v>268932.20999999996</v>
      </c>
      <c r="F154" s="37">
        <f t="shared" si="13"/>
        <v>268932.21001539996</v>
      </c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</row>
    <row r="155" spans="1:19" x14ac:dyDescent="0.3">
      <c r="A155" s="34" t="s">
        <v>60</v>
      </c>
      <c r="B155" s="34" t="s">
        <v>61</v>
      </c>
      <c r="C155" s="34" t="s">
        <v>68</v>
      </c>
      <c r="D155" s="34" t="s">
        <v>63</v>
      </c>
      <c r="E155" s="37">
        <f t="shared" si="12"/>
        <v>148452.21000000002</v>
      </c>
      <c r="F155" s="37">
        <f t="shared" si="13"/>
        <v>148452.21001550002</v>
      </c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</row>
    <row r="156" spans="1:19" x14ac:dyDescent="0.3">
      <c r="A156" s="34" t="s">
        <v>60</v>
      </c>
      <c r="B156" s="34" t="s">
        <v>61</v>
      </c>
      <c r="C156" s="34" t="s">
        <v>68</v>
      </c>
      <c r="D156" s="34" t="s">
        <v>66</v>
      </c>
      <c r="E156" s="37">
        <f t="shared" si="12"/>
        <v>150431.29999999999</v>
      </c>
      <c r="F156" s="37">
        <f t="shared" si="13"/>
        <v>150431.30001559999</v>
      </c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</row>
    <row r="157" spans="1:19" x14ac:dyDescent="0.3">
      <c r="A157" s="34" t="s">
        <v>60</v>
      </c>
      <c r="B157" s="34" t="s">
        <v>61</v>
      </c>
      <c r="C157" s="34" t="s">
        <v>68</v>
      </c>
      <c r="D157" s="34" t="s">
        <v>69</v>
      </c>
      <c r="E157" s="37">
        <f t="shared" si="12"/>
        <v>121428.51000000001</v>
      </c>
      <c r="F157" s="37">
        <f t="shared" si="13"/>
        <v>121428.51001570001</v>
      </c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</row>
    <row r="158" spans="1:19" x14ac:dyDescent="0.3">
      <c r="A158" s="34" t="s">
        <v>60</v>
      </c>
      <c r="B158" s="34" t="s">
        <v>61</v>
      </c>
      <c r="C158" s="34" t="s">
        <v>71</v>
      </c>
      <c r="D158" s="34" t="s">
        <v>78</v>
      </c>
      <c r="E158" s="37">
        <f t="shared" si="12"/>
        <v>329137.92000000004</v>
      </c>
      <c r="F158" s="37">
        <f t="shared" si="13"/>
        <v>329137.92001580005</v>
      </c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</row>
    <row r="159" spans="1:19" x14ac:dyDescent="0.3">
      <c r="A159" s="34" t="s">
        <v>60</v>
      </c>
      <c r="B159" s="34" t="s">
        <v>61</v>
      </c>
      <c r="C159" s="34" t="s">
        <v>71</v>
      </c>
      <c r="D159" s="34" t="s">
        <v>73</v>
      </c>
      <c r="E159" s="37">
        <f t="shared" ref="E159:E222" si="25">SUMIFS(d_rev,d_date,"&gt;="&amp;$B$9,d_date,"&lt;="&amp;$B$10,d_plat,$C$4,d_type,$C$7,d_ind,$C$5,d_ctry,$C$6,d_plat,$A159,d_type,$B159,d_ind,$C159,d_ctry,$D159)</f>
        <v>161902.42000000001</v>
      </c>
      <c r="F159" s="37">
        <f t="shared" ref="F159:F222" si="26">E159+ROW()*0.0000001</f>
        <v>161902.42001590002</v>
      </c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</row>
    <row r="160" spans="1:19" x14ac:dyDescent="0.3">
      <c r="A160" s="34" t="s">
        <v>60</v>
      </c>
      <c r="B160" s="34" t="s">
        <v>61</v>
      </c>
      <c r="C160" s="34" t="s">
        <v>71</v>
      </c>
      <c r="D160" s="34" t="s">
        <v>72</v>
      </c>
      <c r="E160" s="37">
        <f t="shared" si="25"/>
        <v>150645.74</v>
      </c>
      <c r="F160" s="37">
        <f t="shared" si="26"/>
        <v>150645.740016</v>
      </c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</row>
    <row r="161" spans="1:19" x14ac:dyDescent="0.3">
      <c r="A161" s="34" t="s">
        <v>60</v>
      </c>
      <c r="B161" s="34" t="s">
        <v>61</v>
      </c>
      <c r="C161" s="34" t="s">
        <v>71</v>
      </c>
      <c r="D161" s="34" t="s">
        <v>77</v>
      </c>
      <c r="E161" s="37">
        <f t="shared" si="25"/>
        <v>68229.01999999999</v>
      </c>
      <c r="F161" s="37">
        <f t="shared" si="26"/>
        <v>68229.020016099996</v>
      </c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</row>
    <row r="162" spans="1:19" x14ac:dyDescent="0.3">
      <c r="A162" s="34" t="s">
        <v>60</v>
      </c>
      <c r="B162" s="34" t="s">
        <v>61</v>
      </c>
      <c r="C162" s="34" t="s">
        <v>71</v>
      </c>
      <c r="D162" s="34" t="s">
        <v>63</v>
      </c>
      <c r="E162" s="37">
        <f t="shared" si="25"/>
        <v>332034.88999999996</v>
      </c>
      <c r="F162" s="37">
        <f t="shared" si="26"/>
        <v>332034.89001619996</v>
      </c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</row>
    <row r="163" spans="1:19" x14ac:dyDescent="0.3">
      <c r="A163" s="34" t="s">
        <v>60</v>
      </c>
      <c r="B163" s="34" t="s">
        <v>61</v>
      </c>
      <c r="C163" s="34" t="s">
        <v>71</v>
      </c>
      <c r="D163" s="34" t="s">
        <v>66</v>
      </c>
      <c r="E163" s="37">
        <f t="shared" si="25"/>
        <v>205792.06</v>
      </c>
      <c r="F163" s="37">
        <f t="shared" si="26"/>
        <v>205792.06001630001</v>
      </c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</row>
    <row r="164" spans="1:19" x14ac:dyDescent="0.3">
      <c r="A164" s="34" t="s">
        <v>60</v>
      </c>
      <c r="B164" s="34" t="s">
        <v>61</v>
      </c>
      <c r="C164" s="34" t="s">
        <v>71</v>
      </c>
      <c r="D164" s="34" t="s">
        <v>69</v>
      </c>
      <c r="E164" s="37">
        <f t="shared" si="25"/>
        <v>119312.3</v>
      </c>
      <c r="F164" s="37">
        <f t="shared" si="26"/>
        <v>119312.3000164</v>
      </c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</row>
    <row r="165" spans="1:19" x14ac:dyDescent="0.3">
      <c r="A165" s="34" t="s">
        <v>60</v>
      </c>
      <c r="B165" s="34" t="s">
        <v>70</v>
      </c>
      <c r="C165" s="34" t="s">
        <v>76</v>
      </c>
      <c r="D165" s="34" t="s">
        <v>78</v>
      </c>
      <c r="E165" s="37">
        <f t="shared" si="25"/>
        <v>15657.77</v>
      </c>
      <c r="F165" s="37">
        <f t="shared" si="26"/>
        <v>15657.770016500001</v>
      </c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</row>
    <row r="166" spans="1:19" x14ac:dyDescent="0.3">
      <c r="A166" s="34" t="s">
        <v>60</v>
      </c>
      <c r="B166" s="34" t="s">
        <v>70</v>
      </c>
      <c r="C166" s="34" t="s">
        <v>76</v>
      </c>
      <c r="D166" s="34" t="s">
        <v>73</v>
      </c>
      <c r="E166" s="37">
        <f t="shared" si="25"/>
        <v>177728.16</v>
      </c>
      <c r="F166" s="37">
        <f t="shared" si="26"/>
        <v>177728.16001660001</v>
      </c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</row>
    <row r="167" spans="1:19" x14ac:dyDescent="0.3">
      <c r="A167" s="34" t="s">
        <v>60</v>
      </c>
      <c r="B167" s="34" t="s">
        <v>70</v>
      </c>
      <c r="C167" s="34" t="s">
        <v>76</v>
      </c>
      <c r="D167" s="34" t="s">
        <v>72</v>
      </c>
      <c r="E167" s="37">
        <f t="shared" si="25"/>
        <v>146904.16999999998</v>
      </c>
      <c r="F167" s="37">
        <f t="shared" si="26"/>
        <v>146904.17001669999</v>
      </c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</row>
    <row r="168" spans="1:19" x14ac:dyDescent="0.3">
      <c r="A168" s="34" t="s">
        <v>60</v>
      </c>
      <c r="B168" s="34" t="s">
        <v>70</v>
      </c>
      <c r="C168" s="34" t="s">
        <v>76</v>
      </c>
      <c r="D168" s="34" t="s">
        <v>77</v>
      </c>
      <c r="E168" s="37">
        <f t="shared" si="25"/>
        <v>152698.1</v>
      </c>
      <c r="F168" s="37">
        <f t="shared" si="26"/>
        <v>152698.10001680002</v>
      </c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</row>
    <row r="169" spans="1:19" x14ac:dyDescent="0.3">
      <c r="A169" s="34" t="s">
        <v>60</v>
      </c>
      <c r="B169" s="34" t="s">
        <v>70</v>
      </c>
      <c r="C169" s="34" t="s">
        <v>76</v>
      </c>
      <c r="D169" s="34" t="s">
        <v>63</v>
      </c>
      <c r="E169" s="37">
        <f t="shared" si="25"/>
        <v>116397.28</v>
      </c>
      <c r="F169" s="37">
        <f t="shared" si="26"/>
        <v>116397.2800169</v>
      </c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</row>
    <row r="170" spans="1:19" x14ac:dyDescent="0.3">
      <c r="A170" s="34" t="s">
        <v>60</v>
      </c>
      <c r="B170" s="34" t="s">
        <v>70</v>
      </c>
      <c r="C170" s="34" t="s">
        <v>76</v>
      </c>
      <c r="D170" s="34" t="s">
        <v>66</v>
      </c>
      <c r="E170" s="37">
        <f t="shared" si="25"/>
        <v>269367.54000000004</v>
      </c>
      <c r="F170" s="37">
        <f t="shared" si="26"/>
        <v>269367.54001700005</v>
      </c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</row>
    <row r="171" spans="1:19" x14ac:dyDescent="0.3">
      <c r="A171" s="34" t="s">
        <v>60</v>
      </c>
      <c r="B171" s="34" t="s">
        <v>70</v>
      </c>
      <c r="C171" s="34" t="s">
        <v>76</v>
      </c>
      <c r="D171" s="34" t="s">
        <v>69</v>
      </c>
      <c r="E171" s="37">
        <f t="shared" si="25"/>
        <v>24038.39</v>
      </c>
      <c r="F171" s="37">
        <f t="shared" si="26"/>
        <v>24038.390017099999</v>
      </c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</row>
    <row r="172" spans="1:19" x14ac:dyDescent="0.3">
      <c r="A172" s="34" t="s">
        <v>60</v>
      </c>
      <c r="B172" s="34" t="s">
        <v>70</v>
      </c>
      <c r="C172" s="34" t="s">
        <v>65</v>
      </c>
      <c r="D172" s="34" t="s">
        <v>78</v>
      </c>
      <c r="E172" s="37">
        <f t="shared" si="25"/>
        <v>45738.11</v>
      </c>
      <c r="F172" s="37">
        <f t="shared" si="26"/>
        <v>45738.110017200001</v>
      </c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</row>
    <row r="173" spans="1:19" x14ac:dyDescent="0.3">
      <c r="A173" s="34" t="s">
        <v>60</v>
      </c>
      <c r="B173" s="34" t="s">
        <v>70</v>
      </c>
      <c r="C173" s="34" t="s">
        <v>65</v>
      </c>
      <c r="D173" s="34" t="s">
        <v>73</v>
      </c>
      <c r="E173" s="37">
        <f t="shared" si="25"/>
        <v>243493.38999999998</v>
      </c>
      <c r="F173" s="37">
        <f t="shared" si="26"/>
        <v>243493.39001729997</v>
      </c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</row>
    <row r="174" spans="1:19" x14ac:dyDescent="0.3">
      <c r="A174" s="34" t="s">
        <v>60</v>
      </c>
      <c r="B174" s="34" t="s">
        <v>70</v>
      </c>
      <c r="C174" s="34" t="s">
        <v>65</v>
      </c>
      <c r="D174" s="34" t="s">
        <v>72</v>
      </c>
      <c r="E174" s="37">
        <f t="shared" si="25"/>
        <v>11863.61</v>
      </c>
      <c r="F174" s="37">
        <f t="shared" si="26"/>
        <v>11863.6100174</v>
      </c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</row>
    <row r="175" spans="1:19" x14ac:dyDescent="0.3">
      <c r="A175" s="34" t="s">
        <v>60</v>
      </c>
      <c r="B175" s="34" t="s">
        <v>70</v>
      </c>
      <c r="C175" s="34" t="s">
        <v>65</v>
      </c>
      <c r="D175" s="34" t="s">
        <v>77</v>
      </c>
      <c r="E175" s="37">
        <f t="shared" si="25"/>
        <v>123855.57</v>
      </c>
      <c r="F175" s="37">
        <f t="shared" si="26"/>
        <v>123855.57001750001</v>
      </c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</row>
    <row r="176" spans="1:19" x14ac:dyDescent="0.3">
      <c r="A176" s="34" t="s">
        <v>60</v>
      </c>
      <c r="B176" s="34" t="s">
        <v>70</v>
      </c>
      <c r="C176" s="34" t="s">
        <v>65</v>
      </c>
      <c r="D176" s="34" t="s">
        <v>63</v>
      </c>
      <c r="E176" s="37">
        <f t="shared" si="25"/>
        <v>152553.03000000003</v>
      </c>
      <c r="F176" s="37">
        <f t="shared" si="26"/>
        <v>152553.03001760002</v>
      </c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</row>
    <row r="177" spans="1:19" x14ac:dyDescent="0.3">
      <c r="A177" s="34" t="s">
        <v>60</v>
      </c>
      <c r="B177" s="34" t="s">
        <v>70</v>
      </c>
      <c r="C177" s="34" t="s">
        <v>65</v>
      </c>
      <c r="D177" s="34" t="s">
        <v>66</v>
      </c>
      <c r="E177" s="37">
        <f t="shared" si="25"/>
        <v>133391.33000000002</v>
      </c>
      <c r="F177" s="37">
        <f t="shared" si="26"/>
        <v>133391.33001770001</v>
      </c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</row>
    <row r="178" spans="1:19" x14ac:dyDescent="0.3">
      <c r="A178" s="34" t="s">
        <v>60</v>
      </c>
      <c r="B178" s="34" t="s">
        <v>70</v>
      </c>
      <c r="C178" s="34" t="s">
        <v>65</v>
      </c>
      <c r="D178" s="34" t="s">
        <v>69</v>
      </c>
      <c r="E178" s="37">
        <f t="shared" si="25"/>
        <v>233807.61999999997</v>
      </c>
      <c r="F178" s="37">
        <f t="shared" si="26"/>
        <v>233807.62001779996</v>
      </c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</row>
    <row r="179" spans="1:19" x14ac:dyDescent="0.3">
      <c r="A179" s="34" t="s">
        <v>60</v>
      </c>
      <c r="B179" s="34" t="s">
        <v>70</v>
      </c>
      <c r="C179" s="34" t="s">
        <v>62</v>
      </c>
      <c r="D179" s="34" t="s">
        <v>78</v>
      </c>
      <c r="E179" s="37">
        <f t="shared" si="25"/>
        <v>614423.03</v>
      </c>
      <c r="F179" s="37">
        <f t="shared" si="26"/>
        <v>614423.03001790005</v>
      </c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</row>
    <row r="180" spans="1:19" x14ac:dyDescent="0.3">
      <c r="A180" s="34" t="s">
        <v>60</v>
      </c>
      <c r="B180" s="34" t="s">
        <v>70</v>
      </c>
      <c r="C180" s="34" t="s">
        <v>62</v>
      </c>
      <c r="D180" s="34" t="s">
        <v>73</v>
      </c>
      <c r="E180" s="37">
        <f t="shared" si="25"/>
        <v>54980.83</v>
      </c>
      <c r="F180" s="37">
        <f t="shared" si="26"/>
        <v>54980.830018000001</v>
      </c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</row>
    <row r="181" spans="1:19" x14ac:dyDescent="0.3">
      <c r="A181" s="34" t="s">
        <v>60</v>
      </c>
      <c r="B181" s="34" t="s">
        <v>70</v>
      </c>
      <c r="C181" s="34" t="s">
        <v>62</v>
      </c>
      <c r="D181" s="34" t="s">
        <v>72</v>
      </c>
      <c r="E181" s="37">
        <f t="shared" si="25"/>
        <v>141501.53</v>
      </c>
      <c r="F181" s="37">
        <f t="shared" si="26"/>
        <v>141501.53001809999</v>
      </c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</row>
    <row r="182" spans="1:19" x14ac:dyDescent="0.3">
      <c r="A182" s="34" t="s">
        <v>60</v>
      </c>
      <c r="B182" s="34" t="s">
        <v>70</v>
      </c>
      <c r="C182" s="34" t="s">
        <v>62</v>
      </c>
      <c r="D182" s="34" t="s">
        <v>77</v>
      </c>
      <c r="E182" s="37">
        <f t="shared" si="25"/>
        <v>282706.84999999998</v>
      </c>
      <c r="F182" s="37">
        <f t="shared" si="26"/>
        <v>282706.8500182</v>
      </c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</row>
    <row r="183" spans="1:19" x14ac:dyDescent="0.3">
      <c r="A183" s="34" t="s">
        <v>60</v>
      </c>
      <c r="B183" s="34" t="s">
        <v>70</v>
      </c>
      <c r="C183" s="34" t="s">
        <v>62</v>
      </c>
      <c r="D183" s="34" t="s">
        <v>63</v>
      </c>
      <c r="E183" s="37">
        <f t="shared" si="25"/>
        <v>39748.100000000006</v>
      </c>
      <c r="F183" s="37">
        <f t="shared" si="26"/>
        <v>39748.100018300007</v>
      </c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</row>
    <row r="184" spans="1:19" x14ac:dyDescent="0.3">
      <c r="A184" s="34" t="s">
        <v>60</v>
      </c>
      <c r="B184" s="34" t="s">
        <v>70</v>
      </c>
      <c r="C184" s="34" t="s">
        <v>62</v>
      </c>
      <c r="D184" s="34" t="s">
        <v>66</v>
      </c>
      <c r="E184" s="37">
        <f t="shared" si="25"/>
        <v>103310.95</v>
      </c>
      <c r="F184" s="37">
        <f t="shared" si="26"/>
        <v>103310.95001839999</v>
      </c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</row>
    <row r="185" spans="1:19" x14ac:dyDescent="0.3">
      <c r="A185" s="34" t="s">
        <v>60</v>
      </c>
      <c r="B185" s="34" t="s">
        <v>70</v>
      </c>
      <c r="C185" s="34" t="s">
        <v>62</v>
      </c>
      <c r="D185" s="34" t="s">
        <v>69</v>
      </c>
      <c r="E185" s="37">
        <f t="shared" si="25"/>
        <v>55653.82</v>
      </c>
      <c r="F185" s="37">
        <f t="shared" si="26"/>
        <v>55653.820018500002</v>
      </c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</row>
    <row r="186" spans="1:19" x14ac:dyDescent="0.3">
      <c r="A186" s="34" t="s">
        <v>60</v>
      </c>
      <c r="B186" s="34" t="s">
        <v>70</v>
      </c>
      <c r="C186" s="34" t="s">
        <v>68</v>
      </c>
      <c r="D186" s="34" t="s">
        <v>78</v>
      </c>
      <c r="E186" s="37">
        <f t="shared" si="25"/>
        <v>76492.44</v>
      </c>
      <c r="F186" s="37">
        <f t="shared" si="26"/>
        <v>76492.440018599998</v>
      </c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</row>
    <row r="187" spans="1:19" x14ac:dyDescent="0.3">
      <c r="A187" s="34" t="s">
        <v>60</v>
      </c>
      <c r="B187" s="34" t="s">
        <v>70</v>
      </c>
      <c r="C187" s="34" t="s">
        <v>68</v>
      </c>
      <c r="D187" s="34" t="s">
        <v>73</v>
      </c>
      <c r="E187" s="37">
        <f t="shared" si="25"/>
        <v>55094.539999999994</v>
      </c>
      <c r="F187" s="37">
        <f t="shared" si="26"/>
        <v>55094.54001869999</v>
      </c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</row>
    <row r="188" spans="1:19" x14ac:dyDescent="0.3">
      <c r="A188" s="34" t="s">
        <v>60</v>
      </c>
      <c r="B188" s="34" t="s">
        <v>70</v>
      </c>
      <c r="C188" s="34" t="s">
        <v>68</v>
      </c>
      <c r="D188" s="34" t="s">
        <v>72</v>
      </c>
      <c r="E188" s="37">
        <f t="shared" si="25"/>
        <v>284650.23</v>
      </c>
      <c r="F188" s="37">
        <f t="shared" si="26"/>
        <v>284650.23001880001</v>
      </c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</row>
    <row r="189" spans="1:19" x14ac:dyDescent="0.3">
      <c r="A189" s="34" t="s">
        <v>60</v>
      </c>
      <c r="B189" s="34" t="s">
        <v>70</v>
      </c>
      <c r="C189" s="34" t="s">
        <v>68</v>
      </c>
      <c r="D189" s="34" t="s">
        <v>77</v>
      </c>
      <c r="E189" s="37">
        <f t="shared" si="25"/>
        <v>16337.12</v>
      </c>
      <c r="F189" s="37">
        <f t="shared" si="26"/>
        <v>16337.120018900001</v>
      </c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</row>
    <row r="190" spans="1:19" x14ac:dyDescent="0.3">
      <c r="A190" s="34" t="s">
        <v>60</v>
      </c>
      <c r="B190" s="34" t="s">
        <v>70</v>
      </c>
      <c r="C190" s="34" t="s">
        <v>68</v>
      </c>
      <c r="D190" s="34" t="s">
        <v>63</v>
      </c>
      <c r="E190" s="37">
        <f t="shared" si="25"/>
        <v>201023.31999999998</v>
      </c>
      <c r="F190" s="37">
        <f t="shared" si="26"/>
        <v>201023.32001899998</v>
      </c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</row>
    <row r="191" spans="1:19" x14ac:dyDescent="0.3">
      <c r="A191" s="34" t="s">
        <v>60</v>
      </c>
      <c r="B191" s="34" t="s">
        <v>70</v>
      </c>
      <c r="C191" s="34" t="s">
        <v>68</v>
      </c>
      <c r="D191" s="34" t="s">
        <v>66</v>
      </c>
      <c r="E191" s="37">
        <f t="shared" si="25"/>
        <v>126693.97</v>
      </c>
      <c r="F191" s="37">
        <f t="shared" si="26"/>
        <v>126693.9700191</v>
      </c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</row>
    <row r="192" spans="1:19" x14ac:dyDescent="0.3">
      <c r="A192" s="34" t="s">
        <v>60</v>
      </c>
      <c r="B192" s="34" t="s">
        <v>70</v>
      </c>
      <c r="C192" s="34" t="s">
        <v>68</v>
      </c>
      <c r="D192" s="34" t="s">
        <v>69</v>
      </c>
      <c r="E192" s="37">
        <f t="shared" si="25"/>
        <v>6024.46</v>
      </c>
      <c r="F192" s="37">
        <f t="shared" si="26"/>
        <v>6024.4600191999998</v>
      </c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</row>
    <row r="193" spans="1:19" x14ac:dyDescent="0.3">
      <c r="A193" s="34" t="s">
        <v>60</v>
      </c>
      <c r="B193" s="34" t="s">
        <v>70</v>
      </c>
      <c r="C193" s="34" t="s">
        <v>71</v>
      </c>
      <c r="D193" s="34" t="s">
        <v>78</v>
      </c>
      <c r="E193" s="37">
        <f t="shared" si="25"/>
        <v>37664.800000000003</v>
      </c>
      <c r="F193" s="37">
        <f t="shared" si="26"/>
        <v>37664.800019300004</v>
      </c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</row>
    <row r="194" spans="1:19" x14ac:dyDescent="0.3">
      <c r="A194" s="34" t="s">
        <v>60</v>
      </c>
      <c r="B194" s="34" t="s">
        <v>70</v>
      </c>
      <c r="C194" s="34" t="s">
        <v>71</v>
      </c>
      <c r="D194" s="34" t="s">
        <v>73</v>
      </c>
      <c r="E194" s="37">
        <f t="shared" si="25"/>
        <v>193129.25000000003</v>
      </c>
      <c r="F194" s="37">
        <f t="shared" si="26"/>
        <v>193129.25001940003</v>
      </c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</row>
    <row r="195" spans="1:19" x14ac:dyDescent="0.3">
      <c r="A195" s="34" t="s">
        <v>60</v>
      </c>
      <c r="B195" s="34" t="s">
        <v>70</v>
      </c>
      <c r="C195" s="34" t="s">
        <v>71</v>
      </c>
      <c r="D195" s="34" t="s">
        <v>72</v>
      </c>
      <c r="E195" s="37">
        <f t="shared" si="25"/>
        <v>92685.799999999988</v>
      </c>
      <c r="F195" s="37">
        <f t="shared" si="26"/>
        <v>92685.800019499991</v>
      </c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</row>
    <row r="196" spans="1:19" x14ac:dyDescent="0.3">
      <c r="A196" s="34" t="s">
        <v>60</v>
      </c>
      <c r="B196" s="34" t="s">
        <v>70</v>
      </c>
      <c r="C196" s="34" t="s">
        <v>71</v>
      </c>
      <c r="D196" s="34" t="s">
        <v>77</v>
      </c>
      <c r="E196" s="37">
        <f t="shared" si="25"/>
        <v>74013</v>
      </c>
      <c r="F196" s="37">
        <f t="shared" si="26"/>
        <v>74013.000019600004</v>
      </c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</row>
    <row r="197" spans="1:19" x14ac:dyDescent="0.3">
      <c r="A197" s="34" t="s">
        <v>60</v>
      </c>
      <c r="B197" s="34" t="s">
        <v>70</v>
      </c>
      <c r="C197" s="34" t="s">
        <v>71</v>
      </c>
      <c r="D197" s="34" t="s">
        <v>63</v>
      </c>
      <c r="E197" s="37">
        <f t="shared" si="25"/>
        <v>457394.25</v>
      </c>
      <c r="F197" s="37">
        <f t="shared" si="26"/>
        <v>457394.25001969998</v>
      </c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</row>
    <row r="198" spans="1:19" x14ac:dyDescent="0.3">
      <c r="A198" s="34" t="s">
        <v>60</v>
      </c>
      <c r="B198" s="34" t="s">
        <v>70</v>
      </c>
      <c r="C198" s="34" t="s">
        <v>71</v>
      </c>
      <c r="D198" s="34" t="s">
        <v>66</v>
      </c>
      <c r="E198" s="37">
        <f t="shared" si="25"/>
        <v>130027.89000000001</v>
      </c>
      <c r="F198" s="37">
        <f t="shared" si="26"/>
        <v>130027.89001980002</v>
      </c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</row>
    <row r="199" spans="1:19" x14ac:dyDescent="0.3">
      <c r="A199" s="34" t="s">
        <v>60</v>
      </c>
      <c r="B199" s="34" t="s">
        <v>70</v>
      </c>
      <c r="C199" s="34" t="s">
        <v>71</v>
      </c>
      <c r="D199" s="34" t="s">
        <v>69</v>
      </c>
      <c r="E199" s="37">
        <f t="shared" si="25"/>
        <v>200832.38</v>
      </c>
      <c r="F199" s="37">
        <f t="shared" si="26"/>
        <v>200832.38001990001</v>
      </c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</row>
    <row r="200" spans="1:19" x14ac:dyDescent="0.3">
      <c r="A200" s="34" t="s">
        <v>60</v>
      </c>
      <c r="B200" s="34" t="s">
        <v>67</v>
      </c>
      <c r="C200" s="34" t="s">
        <v>76</v>
      </c>
      <c r="D200" s="34" t="s">
        <v>78</v>
      </c>
      <c r="E200" s="37">
        <f t="shared" si="25"/>
        <v>72454.55</v>
      </c>
      <c r="F200" s="37">
        <f t="shared" si="26"/>
        <v>72454.55002000001</v>
      </c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</row>
    <row r="201" spans="1:19" x14ac:dyDescent="0.3">
      <c r="A201" s="34" t="s">
        <v>60</v>
      </c>
      <c r="B201" s="34" t="s">
        <v>67</v>
      </c>
      <c r="C201" s="34" t="s">
        <v>76</v>
      </c>
      <c r="D201" s="34" t="s">
        <v>73</v>
      </c>
      <c r="E201" s="37">
        <f t="shared" si="25"/>
        <v>150081.92000000001</v>
      </c>
      <c r="F201" s="37">
        <f t="shared" si="26"/>
        <v>150081.92002010002</v>
      </c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</row>
    <row r="202" spans="1:19" x14ac:dyDescent="0.3">
      <c r="A202" s="34" t="s">
        <v>60</v>
      </c>
      <c r="B202" s="34" t="s">
        <v>67</v>
      </c>
      <c r="C202" s="34" t="s">
        <v>76</v>
      </c>
      <c r="D202" s="34" t="s">
        <v>72</v>
      </c>
      <c r="E202" s="37">
        <f t="shared" si="25"/>
        <v>141054.35</v>
      </c>
      <c r="F202" s="37">
        <f t="shared" si="26"/>
        <v>141054.35002020001</v>
      </c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</row>
    <row r="203" spans="1:19" x14ac:dyDescent="0.3">
      <c r="A203" s="34" t="s">
        <v>60</v>
      </c>
      <c r="B203" s="34" t="s">
        <v>67</v>
      </c>
      <c r="C203" s="34" t="s">
        <v>76</v>
      </c>
      <c r="D203" s="34" t="s">
        <v>77</v>
      </c>
      <c r="E203" s="37">
        <f t="shared" si="25"/>
        <v>111540.47</v>
      </c>
      <c r="F203" s="37">
        <f t="shared" si="26"/>
        <v>111540.4700203</v>
      </c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</row>
    <row r="204" spans="1:19" x14ac:dyDescent="0.3">
      <c r="A204" s="34" t="s">
        <v>60</v>
      </c>
      <c r="B204" s="34" t="s">
        <v>67</v>
      </c>
      <c r="C204" s="34" t="s">
        <v>76</v>
      </c>
      <c r="D204" s="34" t="s">
        <v>63</v>
      </c>
      <c r="E204" s="37">
        <f t="shared" si="25"/>
        <v>112657.60000000001</v>
      </c>
      <c r="F204" s="37">
        <f t="shared" si="26"/>
        <v>112657.6000204</v>
      </c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</row>
    <row r="205" spans="1:19" x14ac:dyDescent="0.3">
      <c r="A205" s="34" t="s">
        <v>60</v>
      </c>
      <c r="B205" s="34" t="s">
        <v>67</v>
      </c>
      <c r="C205" s="34" t="s">
        <v>76</v>
      </c>
      <c r="D205" s="34" t="s">
        <v>66</v>
      </c>
      <c r="E205" s="37">
        <f t="shared" si="25"/>
        <v>209656.34</v>
      </c>
      <c r="F205" s="37">
        <f t="shared" si="26"/>
        <v>209656.34002050001</v>
      </c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</row>
    <row r="206" spans="1:19" x14ac:dyDescent="0.3">
      <c r="A206" s="34" t="s">
        <v>60</v>
      </c>
      <c r="B206" s="34" t="s">
        <v>67</v>
      </c>
      <c r="C206" s="34" t="s">
        <v>76</v>
      </c>
      <c r="D206" s="34" t="s">
        <v>69</v>
      </c>
      <c r="E206" s="37">
        <f t="shared" si="25"/>
        <v>158808.26</v>
      </c>
      <c r="F206" s="37">
        <f t="shared" si="26"/>
        <v>158808.26002060002</v>
      </c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</row>
    <row r="207" spans="1:19" x14ac:dyDescent="0.3">
      <c r="A207" s="34" t="s">
        <v>60</v>
      </c>
      <c r="B207" s="34" t="s">
        <v>67</v>
      </c>
      <c r="C207" s="34" t="s">
        <v>65</v>
      </c>
      <c r="D207" s="34" t="s">
        <v>78</v>
      </c>
      <c r="E207" s="37">
        <f t="shared" si="25"/>
        <v>269178.09999999998</v>
      </c>
      <c r="F207" s="37">
        <f t="shared" si="26"/>
        <v>269178.10002069996</v>
      </c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</row>
    <row r="208" spans="1:19" x14ac:dyDescent="0.3">
      <c r="A208" s="34" t="s">
        <v>60</v>
      </c>
      <c r="B208" s="34" t="s">
        <v>67</v>
      </c>
      <c r="C208" s="34" t="s">
        <v>65</v>
      </c>
      <c r="D208" s="34" t="s">
        <v>73</v>
      </c>
      <c r="E208" s="37">
        <f t="shared" si="25"/>
        <v>116596.28</v>
      </c>
      <c r="F208" s="37">
        <f t="shared" si="26"/>
        <v>116596.2800208</v>
      </c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</row>
    <row r="209" spans="1:19" x14ac:dyDescent="0.3">
      <c r="A209" s="34" t="s">
        <v>60</v>
      </c>
      <c r="B209" s="34" t="s">
        <v>67</v>
      </c>
      <c r="C209" s="34" t="s">
        <v>65</v>
      </c>
      <c r="D209" s="34" t="s">
        <v>72</v>
      </c>
      <c r="E209" s="37">
        <f t="shared" si="25"/>
        <v>223327.89</v>
      </c>
      <c r="F209" s="37">
        <f t="shared" si="26"/>
        <v>223327.89002090003</v>
      </c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</row>
    <row r="210" spans="1:19" x14ac:dyDescent="0.3">
      <c r="A210" s="34" t="s">
        <v>60</v>
      </c>
      <c r="B210" s="34" t="s">
        <v>67</v>
      </c>
      <c r="C210" s="34" t="s">
        <v>65</v>
      </c>
      <c r="D210" s="34" t="s">
        <v>77</v>
      </c>
      <c r="E210" s="37">
        <f t="shared" si="25"/>
        <v>177586.05</v>
      </c>
      <c r="F210" s="37">
        <f t="shared" si="26"/>
        <v>177586.050021</v>
      </c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</row>
    <row r="211" spans="1:19" x14ac:dyDescent="0.3">
      <c r="A211" s="34" t="s">
        <v>60</v>
      </c>
      <c r="B211" s="34" t="s">
        <v>67</v>
      </c>
      <c r="C211" s="34" t="s">
        <v>65</v>
      </c>
      <c r="D211" s="34" t="s">
        <v>63</v>
      </c>
      <c r="E211" s="37">
        <f t="shared" si="25"/>
        <v>208991.53</v>
      </c>
      <c r="F211" s="37">
        <f t="shared" si="26"/>
        <v>208991.53002109998</v>
      </c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</row>
    <row r="212" spans="1:19" x14ac:dyDescent="0.3">
      <c r="A212" s="34" t="s">
        <v>60</v>
      </c>
      <c r="B212" s="34" t="s">
        <v>67</v>
      </c>
      <c r="C212" s="34" t="s">
        <v>65</v>
      </c>
      <c r="D212" s="34" t="s">
        <v>66</v>
      </c>
      <c r="E212" s="37">
        <f t="shared" si="25"/>
        <v>358391.35</v>
      </c>
      <c r="F212" s="37">
        <f t="shared" si="26"/>
        <v>358391.35002119996</v>
      </c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</row>
    <row r="213" spans="1:19" x14ac:dyDescent="0.3">
      <c r="A213" s="34" t="s">
        <v>60</v>
      </c>
      <c r="B213" s="34" t="s">
        <v>67</v>
      </c>
      <c r="C213" s="34" t="s">
        <v>65</v>
      </c>
      <c r="D213" s="34" t="s">
        <v>69</v>
      </c>
      <c r="E213" s="37">
        <f t="shared" si="25"/>
        <v>186010.12000000002</v>
      </c>
      <c r="F213" s="37">
        <f t="shared" si="26"/>
        <v>186010.12002130001</v>
      </c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</row>
    <row r="214" spans="1:19" x14ac:dyDescent="0.3">
      <c r="A214" s="34" t="s">
        <v>60</v>
      </c>
      <c r="B214" s="34" t="s">
        <v>67</v>
      </c>
      <c r="C214" s="34" t="s">
        <v>62</v>
      </c>
      <c r="D214" s="34" t="s">
        <v>78</v>
      </c>
      <c r="E214" s="37">
        <f t="shared" si="25"/>
        <v>383272.17000000004</v>
      </c>
      <c r="F214" s="37">
        <f t="shared" si="26"/>
        <v>383272.17002140003</v>
      </c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</row>
    <row r="215" spans="1:19" x14ac:dyDescent="0.3">
      <c r="A215" s="34" t="s">
        <v>60</v>
      </c>
      <c r="B215" s="34" t="s">
        <v>67</v>
      </c>
      <c r="C215" s="34" t="s">
        <v>62</v>
      </c>
      <c r="D215" s="34" t="s">
        <v>73</v>
      </c>
      <c r="E215" s="37">
        <f t="shared" si="25"/>
        <v>29369.05</v>
      </c>
      <c r="F215" s="37">
        <f t="shared" si="26"/>
        <v>29369.050021499999</v>
      </c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</row>
    <row r="216" spans="1:19" x14ac:dyDescent="0.3">
      <c r="A216" s="34" t="s">
        <v>60</v>
      </c>
      <c r="B216" s="34" t="s">
        <v>67</v>
      </c>
      <c r="C216" s="34" t="s">
        <v>62</v>
      </c>
      <c r="D216" s="34" t="s">
        <v>72</v>
      </c>
      <c r="E216" s="37">
        <f t="shared" si="25"/>
        <v>30742.95</v>
      </c>
      <c r="F216" s="37">
        <f t="shared" si="26"/>
        <v>30742.950021600001</v>
      </c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</row>
    <row r="217" spans="1:19" x14ac:dyDescent="0.3">
      <c r="A217" s="34" t="s">
        <v>60</v>
      </c>
      <c r="B217" s="34" t="s">
        <v>67</v>
      </c>
      <c r="C217" s="34" t="s">
        <v>62</v>
      </c>
      <c r="D217" s="34" t="s">
        <v>77</v>
      </c>
      <c r="E217" s="37">
        <f t="shared" si="25"/>
        <v>115845.01000000001</v>
      </c>
      <c r="F217" s="37">
        <f t="shared" si="26"/>
        <v>115845.01002170001</v>
      </c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</row>
    <row r="218" spans="1:19" x14ac:dyDescent="0.3">
      <c r="A218" s="34" t="s">
        <v>60</v>
      </c>
      <c r="B218" s="34" t="s">
        <v>67</v>
      </c>
      <c r="C218" s="34" t="s">
        <v>62</v>
      </c>
      <c r="D218" s="34" t="s">
        <v>63</v>
      </c>
      <c r="E218" s="37">
        <f t="shared" si="25"/>
        <v>284028.73000000004</v>
      </c>
      <c r="F218" s="37">
        <f t="shared" si="26"/>
        <v>284028.73002180003</v>
      </c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</row>
    <row r="219" spans="1:19" x14ac:dyDescent="0.3">
      <c r="A219" s="34" t="s">
        <v>60</v>
      </c>
      <c r="B219" s="34" t="s">
        <v>67</v>
      </c>
      <c r="C219" s="34" t="s">
        <v>62</v>
      </c>
      <c r="D219" s="34" t="s">
        <v>66</v>
      </c>
      <c r="E219" s="37">
        <f t="shared" si="25"/>
        <v>183348.9</v>
      </c>
      <c r="F219" s="37">
        <f t="shared" si="26"/>
        <v>183348.90002189999</v>
      </c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</row>
    <row r="220" spans="1:19" x14ac:dyDescent="0.3">
      <c r="A220" s="34" t="s">
        <v>60</v>
      </c>
      <c r="B220" s="34" t="s">
        <v>67</v>
      </c>
      <c r="C220" s="34" t="s">
        <v>62</v>
      </c>
      <c r="D220" s="34" t="s">
        <v>69</v>
      </c>
      <c r="E220" s="37">
        <f t="shared" si="25"/>
        <v>237721.19</v>
      </c>
      <c r="F220" s="37">
        <f t="shared" si="26"/>
        <v>237721.190022</v>
      </c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</row>
    <row r="221" spans="1:19" x14ac:dyDescent="0.3">
      <c r="A221" s="34" t="s">
        <v>60</v>
      </c>
      <c r="B221" s="34" t="s">
        <v>67</v>
      </c>
      <c r="C221" s="34" t="s">
        <v>68</v>
      </c>
      <c r="D221" s="34" t="s">
        <v>78</v>
      </c>
      <c r="E221" s="37">
        <f t="shared" si="25"/>
        <v>128244.76</v>
      </c>
      <c r="F221" s="37">
        <f t="shared" si="26"/>
        <v>128244.76002209999</v>
      </c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</row>
    <row r="222" spans="1:19" x14ac:dyDescent="0.3">
      <c r="A222" s="34" t="s">
        <v>60</v>
      </c>
      <c r="B222" s="34" t="s">
        <v>67</v>
      </c>
      <c r="C222" s="34" t="s">
        <v>68</v>
      </c>
      <c r="D222" s="34" t="s">
        <v>73</v>
      </c>
      <c r="E222" s="37">
        <f t="shared" si="25"/>
        <v>196437.71000000002</v>
      </c>
      <c r="F222" s="37">
        <f t="shared" si="26"/>
        <v>196437.71002220002</v>
      </c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</row>
    <row r="223" spans="1:19" x14ac:dyDescent="0.3">
      <c r="A223" s="34" t="s">
        <v>60</v>
      </c>
      <c r="B223" s="34" t="s">
        <v>67</v>
      </c>
      <c r="C223" s="34" t="s">
        <v>68</v>
      </c>
      <c r="D223" s="34" t="s">
        <v>72</v>
      </c>
      <c r="E223" s="37">
        <f t="shared" ref="E223:E286" si="27">SUMIFS(d_rev,d_date,"&gt;="&amp;$B$9,d_date,"&lt;="&amp;$B$10,d_plat,$C$4,d_type,$C$7,d_ind,$C$5,d_ctry,$C$6,d_plat,$A223,d_type,$B223,d_ind,$C223,d_ctry,$D223)</f>
        <v>16177.03</v>
      </c>
      <c r="F223" s="37">
        <f t="shared" ref="F223:F286" si="28">E223+ROW()*0.0000001</f>
        <v>16177.030022300001</v>
      </c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</row>
    <row r="224" spans="1:19" x14ac:dyDescent="0.3">
      <c r="A224" s="34" t="s">
        <v>60</v>
      </c>
      <c r="B224" s="34" t="s">
        <v>67</v>
      </c>
      <c r="C224" s="34" t="s">
        <v>68</v>
      </c>
      <c r="D224" s="34" t="s">
        <v>77</v>
      </c>
      <c r="E224" s="37">
        <f t="shared" si="27"/>
        <v>165671.56999999998</v>
      </c>
      <c r="F224" s="37">
        <f t="shared" si="28"/>
        <v>165671.57002239997</v>
      </c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</row>
    <row r="225" spans="1:19" x14ac:dyDescent="0.3">
      <c r="A225" s="34" t="s">
        <v>60</v>
      </c>
      <c r="B225" s="34" t="s">
        <v>67</v>
      </c>
      <c r="C225" s="34" t="s">
        <v>68</v>
      </c>
      <c r="D225" s="34" t="s">
        <v>63</v>
      </c>
      <c r="E225" s="37">
        <f t="shared" si="27"/>
        <v>175631.66</v>
      </c>
      <c r="F225" s="37">
        <f t="shared" si="28"/>
        <v>175631.6600225</v>
      </c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</row>
    <row r="226" spans="1:19" x14ac:dyDescent="0.3">
      <c r="A226" s="34" t="s">
        <v>60</v>
      </c>
      <c r="B226" s="34" t="s">
        <v>67</v>
      </c>
      <c r="C226" s="34" t="s">
        <v>68</v>
      </c>
      <c r="D226" s="34" t="s">
        <v>66</v>
      </c>
      <c r="E226" s="37">
        <f t="shared" si="27"/>
        <v>134915.03</v>
      </c>
      <c r="F226" s="37">
        <f t="shared" si="28"/>
        <v>134915.0300226</v>
      </c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</row>
    <row r="227" spans="1:19" x14ac:dyDescent="0.3">
      <c r="A227" s="34" t="s">
        <v>60</v>
      </c>
      <c r="B227" s="34" t="s">
        <v>67</v>
      </c>
      <c r="C227" s="34" t="s">
        <v>68</v>
      </c>
      <c r="D227" s="34" t="s">
        <v>69</v>
      </c>
      <c r="E227" s="37">
        <f t="shared" si="27"/>
        <v>193946.16</v>
      </c>
      <c r="F227" s="37">
        <f t="shared" si="28"/>
        <v>193946.1600227</v>
      </c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</row>
    <row r="228" spans="1:19" x14ac:dyDescent="0.3">
      <c r="A228" s="34" t="s">
        <v>60</v>
      </c>
      <c r="B228" s="34" t="s">
        <v>67</v>
      </c>
      <c r="C228" s="34" t="s">
        <v>71</v>
      </c>
      <c r="D228" s="34" t="s">
        <v>78</v>
      </c>
      <c r="E228" s="37">
        <f t="shared" si="27"/>
        <v>73915.31</v>
      </c>
      <c r="F228" s="37">
        <f t="shared" si="28"/>
        <v>73915.310022799997</v>
      </c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</row>
    <row r="229" spans="1:19" x14ac:dyDescent="0.3">
      <c r="A229" s="34" t="s">
        <v>60</v>
      </c>
      <c r="B229" s="34" t="s">
        <v>67</v>
      </c>
      <c r="C229" s="34" t="s">
        <v>71</v>
      </c>
      <c r="D229" s="34" t="s">
        <v>73</v>
      </c>
      <c r="E229" s="37">
        <f t="shared" si="27"/>
        <v>450585.57</v>
      </c>
      <c r="F229" s="37">
        <f t="shared" si="28"/>
        <v>450585.57002290001</v>
      </c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</row>
    <row r="230" spans="1:19" x14ac:dyDescent="0.3">
      <c r="A230" s="34" t="s">
        <v>60</v>
      </c>
      <c r="B230" s="34" t="s">
        <v>67</v>
      </c>
      <c r="C230" s="34" t="s">
        <v>71</v>
      </c>
      <c r="D230" s="34" t="s">
        <v>72</v>
      </c>
      <c r="E230" s="37">
        <f t="shared" si="27"/>
        <v>57040.55</v>
      </c>
      <c r="F230" s="37">
        <f t="shared" si="28"/>
        <v>57040.550023000003</v>
      </c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</row>
    <row r="231" spans="1:19" x14ac:dyDescent="0.3">
      <c r="A231" s="34" t="s">
        <v>60</v>
      </c>
      <c r="B231" s="34" t="s">
        <v>67</v>
      </c>
      <c r="C231" s="34" t="s">
        <v>71</v>
      </c>
      <c r="D231" s="34" t="s">
        <v>77</v>
      </c>
      <c r="E231" s="37">
        <f t="shared" si="27"/>
        <v>234562.68999999997</v>
      </c>
      <c r="F231" s="37">
        <f t="shared" si="28"/>
        <v>234562.69002309997</v>
      </c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</row>
    <row r="232" spans="1:19" x14ac:dyDescent="0.3">
      <c r="A232" s="34" t="s">
        <v>60</v>
      </c>
      <c r="B232" s="34" t="s">
        <v>67</v>
      </c>
      <c r="C232" s="34" t="s">
        <v>71</v>
      </c>
      <c r="D232" s="34" t="s">
        <v>63</v>
      </c>
      <c r="E232" s="37">
        <f t="shared" si="27"/>
        <v>53538.57</v>
      </c>
      <c r="F232" s="37">
        <f t="shared" si="28"/>
        <v>53538.570023200002</v>
      </c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</row>
    <row r="233" spans="1:19" x14ac:dyDescent="0.3">
      <c r="A233" s="34" t="s">
        <v>60</v>
      </c>
      <c r="B233" s="34" t="s">
        <v>67</v>
      </c>
      <c r="C233" s="34" t="s">
        <v>71</v>
      </c>
      <c r="D233" s="34" t="s">
        <v>66</v>
      </c>
      <c r="E233" s="37">
        <f t="shared" si="27"/>
        <v>131479.88999999998</v>
      </c>
      <c r="F233" s="37">
        <f t="shared" si="28"/>
        <v>131479.89002329999</v>
      </c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</row>
    <row r="234" spans="1:19" x14ac:dyDescent="0.3">
      <c r="A234" s="34" t="s">
        <v>60</v>
      </c>
      <c r="B234" s="34" t="s">
        <v>67</v>
      </c>
      <c r="C234" s="34" t="s">
        <v>71</v>
      </c>
      <c r="D234" s="34" t="s">
        <v>69</v>
      </c>
      <c r="E234" s="37">
        <f t="shared" si="27"/>
        <v>107477.01999999999</v>
      </c>
      <c r="F234" s="37">
        <f t="shared" si="28"/>
        <v>107477.02002339999</v>
      </c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</row>
    <row r="235" spans="1:19" x14ac:dyDescent="0.3">
      <c r="A235" s="34" t="s">
        <v>74</v>
      </c>
      <c r="B235" s="34" t="s">
        <v>75</v>
      </c>
      <c r="C235" s="34" t="s">
        <v>76</v>
      </c>
      <c r="D235" s="34" t="s">
        <v>78</v>
      </c>
      <c r="E235" s="37">
        <f t="shared" si="27"/>
        <v>62014.89</v>
      </c>
      <c r="F235" s="37">
        <f t="shared" si="28"/>
        <v>62014.890023499996</v>
      </c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</row>
    <row r="236" spans="1:19" x14ac:dyDescent="0.3">
      <c r="A236" s="34" t="s">
        <v>74</v>
      </c>
      <c r="B236" s="34" t="s">
        <v>75</v>
      </c>
      <c r="C236" s="34" t="s">
        <v>76</v>
      </c>
      <c r="D236" s="34" t="s">
        <v>73</v>
      </c>
      <c r="E236" s="37">
        <f t="shared" si="27"/>
        <v>35791.709999999992</v>
      </c>
      <c r="F236" s="37">
        <f t="shared" si="28"/>
        <v>35791.71002359999</v>
      </c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</row>
    <row r="237" spans="1:19" x14ac:dyDescent="0.3">
      <c r="A237" s="34" t="s">
        <v>74</v>
      </c>
      <c r="B237" s="34" t="s">
        <v>75</v>
      </c>
      <c r="C237" s="34" t="s">
        <v>76</v>
      </c>
      <c r="D237" s="34" t="s">
        <v>72</v>
      </c>
      <c r="E237" s="37">
        <f t="shared" si="27"/>
        <v>54260.34</v>
      </c>
      <c r="F237" s="37">
        <f t="shared" si="28"/>
        <v>54260.340023699995</v>
      </c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</row>
    <row r="238" spans="1:19" x14ac:dyDescent="0.3">
      <c r="A238" s="34" t="s">
        <v>74</v>
      </c>
      <c r="B238" s="34" t="s">
        <v>75</v>
      </c>
      <c r="C238" s="34" t="s">
        <v>76</v>
      </c>
      <c r="D238" s="34" t="s">
        <v>77</v>
      </c>
      <c r="E238" s="37">
        <f t="shared" si="27"/>
        <v>115530.33</v>
      </c>
      <c r="F238" s="37">
        <f t="shared" si="28"/>
        <v>115530.33002380001</v>
      </c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</row>
    <row r="239" spans="1:19" x14ac:dyDescent="0.3">
      <c r="A239" s="34" t="s">
        <v>74</v>
      </c>
      <c r="B239" s="34" t="s">
        <v>75</v>
      </c>
      <c r="C239" s="34" t="s">
        <v>76</v>
      </c>
      <c r="D239" s="34" t="s">
        <v>63</v>
      </c>
      <c r="E239" s="37">
        <f t="shared" si="27"/>
        <v>14945.16</v>
      </c>
      <c r="F239" s="37">
        <f t="shared" si="28"/>
        <v>14945.1600239</v>
      </c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</row>
    <row r="240" spans="1:19" x14ac:dyDescent="0.3">
      <c r="A240" s="34" t="s">
        <v>74</v>
      </c>
      <c r="B240" s="34" t="s">
        <v>75</v>
      </c>
      <c r="C240" s="34" t="s">
        <v>76</v>
      </c>
      <c r="D240" s="34" t="s">
        <v>66</v>
      </c>
      <c r="E240" s="37">
        <f t="shared" si="27"/>
        <v>36795.58</v>
      </c>
      <c r="F240" s="37">
        <f t="shared" si="28"/>
        <v>36795.580024000003</v>
      </c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</row>
    <row r="241" spans="1:19" x14ac:dyDescent="0.3">
      <c r="A241" s="34" t="s">
        <v>74</v>
      </c>
      <c r="B241" s="34" t="s">
        <v>75</v>
      </c>
      <c r="C241" s="34" t="s">
        <v>76</v>
      </c>
      <c r="D241" s="34" t="s">
        <v>69</v>
      </c>
      <c r="E241" s="37">
        <f t="shared" si="27"/>
        <v>48341.14</v>
      </c>
      <c r="F241" s="37">
        <f t="shared" si="28"/>
        <v>48341.140024100001</v>
      </c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</row>
    <row r="242" spans="1:19" x14ac:dyDescent="0.3">
      <c r="A242" s="34" t="s">
        <v>74</v>
      </c>
      <c r="B242" s="34" t="s">
        <v>75</v>
      </c>
      <c r="C242" s="34" t="s">
        <v>65</v>
      </c>
      <c r="D242" s="34" t="s">
        <v>78</v>
      </c>
      <c r="E242" s="37">
        <f t="shared" si="27"/>
        <v>167928.14</v>
      </c>
      <c r="F242" s="37">
        <f t="shared" si="28"/>
        <v>167928.14002420002</v>
      </c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</row>
    <row r="243" spans="1:19" x14ac:dyDescent="0.3">
      <c r="A243" s="34" t="s">
        <v>74</v>
      </c>
      <c r="B243" s="34" t="s">
        <v>75</v>
      </c>
      <c r="C243" s="34" t="s">
        <v>65</v>
      </c>
      <c r="D243" s="34" t="s">
        <v>73</v>
      </c>
      <c r="E243" s="37">
        <f t="shared" si="27"/>
        <v>51617.729999999996</v>
      </c>
      <c r="F243" s="37">
        <f t="shared" si="28"/>
        <v>51617.730024299999</v>
      </c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</row>
    <row r="244" spans="1:19" x14ac:dyDescent="0.3">
      <c r="A244" s="34" t="s">
        <v>74</v>
      </c>
      <c r="B244" s="34" t="s">
        <v>75</v>
      </c>
      <c r="C244" s="34" t="s">
        <v>65</v>
      </c>
      <c r="D244" s="34" t="s">
        <v>72</v>
      </c>
      <c r="E244" s="37">
        <f t="shared" si="27"/>
        <v>168818.91</v>
      </c>
      <c r="F244" s="37">
        <f t="shared" si="28"/>
        <v>168818.91002440001</v>
      </c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</row>
    <row r="245" spans="1:19" x14ac:dyDescent="0.3">
      <c r="A245" s="34" t="s">
        <v>74</v>
      </c>
      <c r="B245" s="34" t="s">
        <v>75</v>
      </c>
      <c r="C245" s="34" t="s">
        <v>65</v>
      </c>
      <c r="D245" s="34" t="s">
        <v>77</v>
      </c>
      <c r="E245" s="37">
        <f t="shared" si="27"/>
        <v>182043.61000000002</v>
      </c>
      <c r="F245" s="37">
        <f t="shared" si="28"/>
        <v>182043.61002450003</v>
      </c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</row>
    <row r="246" spans="1:19" x14ac:dyDescent="0.3">
      <c r="A246" s="34" t="s">
        <v>74</v>
      </c>
      <c r="B246" s="34" t="s">
        <v>75</v>
      </c>
      <c r="C246" s="34" t="s">
        <v>65</v>
      </c>
      <c r="D246" s="34" t="s">
        <v>63</v>
      </c>
      <c r="E246" s="37">
        <f t="shared" si="27"/>
        <v>75234.94</v>
      </c>
      <c r="F246" s="37">
        <f t="shared" si="28"/>
        <v>75234.9400246</v>
      </c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</row>
    <row r="247" spans="1:19" x14ac:dyDescent="0.3">
      <c r="A247" s="34" t="s">
        <v>74</v>
      </c>
      <c r="B247" s="34" t="s">
        <v>75</v>
      </c>
      <c r="C247" s="34" t="s">
        <v>65</v>
      </c>
      <c r="D247" s="34" t="s">
        <v>66</v>
      </c>
      <c r="E247" s="37">
        <f t="shared" si="27"/>
        <v>44807.38</v>
      </c>
      <c r="F247" s="37">
        <f t="shared" si="28"/>
        <v>44807.380024699996</v>
      </c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</row>
    <row r="248" spans="1:19" x14ac:dyDescent="0.3">
      <c r="A248" s="34" t="s">
        <v>74</v>
      </c>
      <c r="B248" s="34" t="s">
        <v>75</v>
      </c>
      <c r="C248" s="34" t="s">
        <v>65</v>
      </c>
      <c r="D248" s="34" t="s">
        <v>69</v>
      </c>
      <c r="E248" s="37">
        <f t="shared" si="27"/>
        <v>58880.490000000005</v>
      </c>
      <c r="F248" s="37">
        <f t="shared" si="28"/>
        <v>58880.490024800005</v>
      </c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</row>
    <row r="249" spans="1:19" x14ac:dyDescent="0.3">
      <c r="A249" s="34" t="s">
        <v>74</v>
      </c>
      <c r="B249" s="34" t="s">
        <v>75</v>
      </c>
      <c r="C249" s="34" t="s">
        <v>62</v>
      </c>
      <c r="D249" s="34" t="s">
        <v>78</v>
      </c>
      <c r="E249" s="37">
        <f t="shared" si="27"/>
        <v>36752.61</v>
      </c>
      <c r="F249" s="37">
        <f t="shared" si="28"/>
        <v>36752.610024900001</v>
      </c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</row>
    <row r="250" spans="1:19" x14ac:dyDescent="0.3">
      <c r="A250" s="34" t="s">
        <v>74</v>
      </c>
      <c r="B250" s="34" t="s">
        <v>75</v>
      </c>
      <c r="C250" s="34" t="s">
        <v>62</v>
      </c>
      <c r="D250" s="34" t="s">
        <v>73</v>
      </c>
      <c r="E250" s="37">
        <f t="shared" si="27"/>
        <v>70879.56</v>
      </c>
      <c r="F250" s="37">
        <f t="shared" si="28"/>
        <v>70879.560024999999</v>
      </c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</row>
    <row r="251" spans="1:19" x14ac:dyDescent="0.3">
      <c r="A251" s="34" t="s">
        <v>74</v>
      </c>
      <c r="B251" s="34" t="s">
        <v>75</v>
      </c>
      <c r="C251" s="34" t="s">
        <v>62</v>
      </c>
      <c r="D251" s="34" t="s">
        <v>72</v>
      </c>
      <c r="E251" s="37">
        <f t="shared" si="27"/>
        <v>150663.68000000002</v>
      </c>
      <c r="F251" s="37">
        <f t="shared" si="28"/>
        <v>150663.68002510001</v>
      </c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</row>
    <row r="252" spans="1:19" x14ac:dyDescent="0.3">
      <c r="A252" s="34" t="s">
        <v>74</v>
      </c>
      <c r="B252" s="34" t="s">
        <v>75</v>
      </c>
      <c r="C252" s="34" t="s">
        <v>62</v>
      </c>
      <c r="D252" s="34" t="s">
        <v>77</v>
      </c>
      <c r="E252" s="37">
        <f t="shared" si="27"/>
        <v>84598.450000000012</v>
      </c>
      <c r="F252" s="37">
        <f t="shared" si="28"/>
        <v>84598.450025200014</v>
      </c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</row>
    <row r="253" spans="1:19" x14ac:dyDescent="0.3">
      <c r="A253" s="34" t="s">
        <v>74</v>
      </c>
      <c r="B253" s="34" t="s">
        <v>75</v>
      </c>
      <c r="C253" s="34" t="s">
        <v>62</v>
      </c>
      <c r="D253" s="34" t="s">
        <v>63</v>
      </c>
      <c r="E253" s="37">
        <f t="shared" si="27"/>
        <v>95343.6</v>
      </c>
      <c r="F253" s="37">
        <f t="shared" si="28"/>
        <v>95343.600025300009</v>
      </c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</row>
    <row r="254" spans="1:19" x14ac:dyDescent="0.3">
      <c r="A254" s="34" t="s">
        <v>74</v>
      </c>
      <c r="B254" s="34" t="s">
        <v>75</v>
      </c>
      <c r="C254" s="34" t="s">
        <v>62</v>
      </c>
      <c r="D254" s="34" t="s">
        <v>66</v>
      </c>
      <c r="E254" s="37">
        <f t="shared" si="27"/>
        <v>130444.65000000001</v>
      </c>
      <c r="F254" s="37">
        <f t="shared" si="28"/>
        <v>130444.65002540001</v>
      </c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</row>
    <row r="255" spans="1:19" x14ac:dyDescent="0.3">
      <c r="A255" s="34" t="s">
        <v>74</v>
      </c>
      <c r="B255" s="34" t="s">
        <v>75</v>
      </c>
      <c r="C255" s="34" t="s">
        <v>62</v>
      </c>
      <c r="D255" s="34" t="s">
        <v>69</v>
      </c>
      <c r="E255" s="37">
        <f t="shared" si="27"/>
        <v>14776.11</v>
      </c>
      <c r="F255" s="37">
        <f t="shared" si="28"/>
        <v>14776.1100255</v>
      </c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</row>
    <row r="256" spans="1:19" x14ac:dyDescent="0.3">
      <c r="A256" s="34" t="s">
        <v>74</v>
      </c>
      <c r="B256" s="34" t="s">
        <v>75</v>
      </c>
      <c r="C256" s="34" t="s">
        <v>68</v>
      </c>
      <c r="D256" s="34" t="s">
        <v>78</v>
      </c>
      <c r="E256" s="37">
        <f t="shared" si="27"/>
        <v>90013.670000000013</v>
      </c>
      <c r="F256" s="37">
        <f t="shared" si="28"/>
        <v>90013.670025600019</v>
      </c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</row>
    <row r="257" spans="1:19" x14ac:dyDescent="0.3">
      <c r="A257" s="34" t="s">
        <v>74</v>
      </c>
      <c r="B257" s="34" t="s">
        <v>75</v>
      </c>
      <c r="C257" s="34" t="s">
        <v>68</v>
      </c>
      <c r="D257" s="34" t="s">
        <v>73</v>
      </c>
      <c r="E257" s="37">
        <f t="shared" si="27"/>
        <v>42363.41</v>
      </c>
      <c r="F257" s="37">
        <f t="shared" si="28"/>
        <v>42363.410025700003</v>
      </c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</row>
    <row r="258" spans="1:19" x14ac:dyDescent="0.3">
      <c r="A258" s="34" t="s">
        <v>74</v>
      </c>
      <c r="B258" s="34" t="s">
        <v>75</v>
      </c>
      <c r="C258" s="34" t="s">
        <v>68</v>
      </c>
      <c r="D258" s="34" t="s">
        <v>72</v>
      </c>
      <c r="E258" s="37">
        <f t="shared" si="27"/>
        <v>198531.58000000002</v>
      </c>
      <c r="F258" s="37">
        <f t="shared" si="28"/>
        <v>198531.58002580001</v>
      </c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</row>
    <row r="259" spans="1:19" x14ac:dyDescent="0.3">
      <c r="A259" s="34" t="s">
        <v>74</v>
      </c>
      <c r="B259" s="34" t="s">
        <v>75</v>
      </c>
      <c r="C259" s="34" t="s">
        <v>68</v>
      </c>
      <c r="D259" s="34" t="s">
        <v>77</v>
      </c>
      <c r="E259" s="37">
        <f t="shared" si="27"/>
        <v>86854.25</v>
      </c>
      <c r="F259" s="37">
        <f t="shared" si="28"/>
        <v>86854.250025899993</v>
      </c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</row>
    <row r="260" spans="1:19" x14ac:dyDescent="0.3">
      <c r="A260" s="34" t="s">
        <v>74</v>
      </c>
      <c r="B260" s="34" t="s">
        <v>75</v>
      </c>
      <c r="C260" s="34" t="s">
        <v>68</v>
      </c>
      <c r="D260" s="34" t="s">
        <v>63</v>
      </c>
      <c r="E260" s="37">
        <f t="shared" si="27"/>
        <v>136491.16999999998</v>
      </c>
      <c r="F260" s="37">
        <f t="shared" si="28"/>
        <v>136491.17002599998</v>
      </c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</row>
    <row r="261" spans="1:19" x14ac:dyDescent="0.3">
      <c r="A261" s="34" t="s">
        <v>74</v>
      </c>
      <c r="B261" s="34" t="s">
        <v>75</v>
      </c>
      <c r="C261" s="34" t="s">
        <v>68</v>
      </c>
      <c r="D261" s="34" t="s">
        <v>66</v>
      </c>
      <c r="E261" s="37">
        <f t="shared" si="27"/>
        <v>40904.85</v>
      </c>
      <c r="F261" s="37">
        <f t="shared" si="28"/>
        <v>40904.850026100001</v>
      </c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</row>
    <row r="262" spans="1:19" x14ac:dyDescent="0.3">
      <c r="A262" s="34" t="s">
        <v>74</v>
      </c>
      <c r="B262" s="34" t="s">
        <v>75</v>
      </c>
      <c r="C262" s="34" t="s">
        <v>68</v>
      </c>
      <c r="D262" s="34" t="s">
        <v>69</v>
      </c>
      <c r="E262" s="37">
        <f t="shared" si="27"/>
        <v>145200.43</v>
      </c>
      <c r="F262" s="37">
        <f t="shared" si="28"/>
        <v>145200.43002619999</v>
      </c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</row>
    <row r="263" spans="1:19" x14ac:dyDescent="0.3">
      <c r="A263" s="34" t="s">
        <v>74</v>
      </c>
      <c r="B263" s="34" t="s">
        <v>75</v>
      </c>
      <c r="C263" s="34" t="s">
        <v>71</v>
      </c>
      <c r="D263" s="34" t="s">
        <v>78</v>
      </c>
      <c r="E263" s="37">
        <f t="shared" si="27"/>
        <v>1025.05</v>
      </c>
      <c r="F263" s="37">
        <f t="shared" si="28"/>
        <v>1025.0500262999999</v>
      </c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</row>
    <row r="264" spans="1:19" x14ac:dyDescent="0.3">
      <c r="A264" s="34" t="s">
        <v>74</v>
      </c>
      <c r="B264" s="34" t="s">
        <v>75</v>
      </c>
      <c r="C264" s="34" t="s">
        <v>71</v>
      </c>
      <c r="D264" s="34" t="s">
        <v>73</v>
      </c>
      <c r="E264" s="37">
        <f t="shared" si="27"/>
        <v>122735.94</v>
      </c>
      <c r="F264" s="37">
        <f t="shared" si="28"/>
        <v>122735.9400264</v>
      </c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</row>
    <row r="265" spans="1:19" x14ac:dyDescent="0.3">
      <c r="A265" s="34" t="s">
        <v>74</v>
      </c>
      <c r="B265" s="34" t="s">
        <v>75</v>
      </c>
      <c r="C265" s="34" t="s">
        <v>71</v>
      </c>
      <c r="D265" s="34" t="s">
        <v>72</v>
      </c>
      <c r="E265" s="37">
        <f t="shared" si="27"/>
        <v>95079.86</v>
      </c>
      <c r="F265" s="37">
        <f t="shared" si="28"/>
        <v>95079.860026499999</v>
      </c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</row>
    <row r="266" spans="1:19" x14ac:dyDescent="0.3">
      <c r="A266" s="34" t="s">
        <v>74</v>
      </c>
      <c r="B266" s="34" t="s">
        <v>75</v>
      </c>
      <c r="C266" s="34" t="s">
        <v>71</v>
      </c>
      <c r="D266" s="34" t="s">
        <v>77</v>
      </c>
      <c r="E266" s="37">
        <f t="shared" si="27"/>
        <v>173035.84</v>
      </c>
      <c r="F266" s="37">
        <f t="shared" si="28"/>
        <v>173035.8400266</v>
      </c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</row>
    <row r="267" spans="1:19" x14ac:dyDescent="0.3">
      <c r="A267" s="34" t="s">
        <v>74</v>
      </c>
      <c r="B267" s="34" t="s">
        <v>75</v>
      </c>
      <c r="C267" s="34" t="s">
        <v>71</v>
      </c>
      <c r="D267" s="34" t="s">
        <v>63</v>
      </c>
      <c r="E267" s="37">
        <f t="shared" si="27"/>
        <v>44954.43</v>
      </c>
      <c r="F267" s="37">
        <f t="shared" si="28"/>
        <v>44954.4300267</v>
      </c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</row>
    <row r="268" spans="1:19" x14ac:dyDescent="0.3">
      <c r="A268" s="34" t="s">
        <v>74</v>
      </c>
      <c r="B268" s="34" t="s">
        <v>75</v>
      </c>
      <c r="C268" s="34" t="s">
        <v>71</v>
      </c>
      <c r="D268" s="34" t="s">
        <v>66</v>
      </c>
      <c r="E268" s="37">
        <f t="shared" si="27"/>
        <v>84898.510000000009</v>
      </c>
      <c r="F268" s="37">
        <f t="shared" si="28"/>
        <v>84898.51002680001</v>
      </c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</row>
    <row r="269" spans="1:19" x14ac:dyDescent="0.3">
      <c r="A269" s="34" t="s">
        <v>74</v>
      </c>
      <c r="B269" s="34" t="s">
        <v>75</v>
      </c>
      <c r="C269" s="34" t="s">
        <v>71</v>
      </c>
      <c r="D269" s="34" t="s">
        <v>69</v>
      </c>
      <c r="E269" s="37">
        <f t="shared" si="27"/>
        <v>226355.09000000003</v>
      </c>
      <c r="F269" s="37">
        <f t="shared" si="28"/>
        <v>226355.09002690003</v>
      </c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</row>
    <row r="270" spans="1:19" x14ac:dyDescent="0.3">
      <c r="A270" s="34" t="s">
        <v>74</v>
      </c>
      <c r="B270" s="34" t="s">
        <v>61</v>
      </c>
      <c r="C270" s="34" t="s">
        <v>76</v>
      </c>
      <c r="D270" s="34" t="s">
        <v>78</v>
      </c>
      <c r="E270" s="37">
        <f t="shared" si="27"/>
        <v>35591.600000000006</v>
      </c>
      <c r="F270" s="37">
        <f t="shared" si="28"/>
        <v>35591.600027000008</v>
      </c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</row>
    <row r="271" spans="1:19" x14ac:dyDescent="0.3">
      <c r="A271" s="34" t="s">
        <v>74</v>
      </c>
      <c r="B271" s="34" t="s">
        <v>61</v>
      </c>
      <c r="C271" s="34" t="s">
        <v>76</v>
      </c>
      <c r="D271" s="34" t="s">
        <v>73</v>
      </c>
      <c r="E271" s="37">
        <f t="shared" si="27"/>
        <v>16258.869999999999</v>
      </c>
      <c r="F271" s="37">
        <f t="shared" si="28"/>
        <v>16258.8700271</v>
      </c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</row>
    <row r="272" spans="1:19" x14ac:dyDescent="0.3">
      <c r="A272" s="34" t="s">
        <v>74</v>
      </c>
      <c r="B272" s="34" t="s">
        <v>61</v>
      </c>
      <c r="C272" s="34" t="s">
        <v>76</v>
      </c>
      <c r="D272" s="34" t="s">
        <v>72</v>
      </c>
      <c r="E272" s="37">
        <f t="shared" si="27"/>
        <v>4254.2</v>
      </c>
      <c r="F272" s="37">
        <f t="shared" si="28"/>
        <v>4254.2000271999996</v>
      </c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</row>
    <row r="273" spans="1:19" x14ac:dyDescent="0.3">
      <c r="A273" s="34" t="s">
        <v>74</v>
      </c>
      <c r="B273" s="34" t="s">
        <v>61</v>
      </c>
      <c r="C273" s="34" t="s">
        <v>76</v>
      </c>
      <c r="D273" s="34" t="s">
        <v>77</v>
      </c>
      <c r="E273" s="37">
        <f t="shared" si="27"/>
        <v>75921.87</v>
      </c>
      <c r="F273" s="37">
        <f t="shared" si="28"/>
        <v>75921.870027299999</v>
      </c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</row>
    <row r="274" spans="1:19" x14ac:dyDescent="0.3">
      <c r="A274" s="34" t="s">
        <v>74</v>
      </c>
      <c r="B274" s="34" t="s">
        <v>61</v>
      </c>
      <c r="C274" s="34" t="s">
        <v>76</v>
      </c>
      <c r="D274" s="34" t="s">
        <v>63</v>
      </c>
      <c r="E274" s="37">
        <f t="shared" si="27"/>
        <v>24290.400000000001</v>
      </c>
      <c r="F274" s="37">
        <f t="shared" si="28"/>
        <v>24290.400027400003</v>
      </c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</row>
    <row r="275" spans="1:19" x14ac:dyDescent="0.3">
      <c r="A275" s="34" t="s">
        <v>74</v>
      </c>
      <c r="B275" s="34" t="s">
        <v>61</v>
      </c>
      <c r="C275" s="34" t="s">
        <v>76</v>
      </c>
      <c r="D275" s="34" t="s">
        <v>66</v>
      </c>
      <c r="E275" s="37">
        <f t="shared" si="27"/>
        <v>124192.79000000001</v>
      </c>
      <c r="F275" s="37">
        <f t="shared" si="28"/>
        <v>124192.79002750001</v>
      </c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</row>
    <row r="276" spans="1:19" x14ac:dyDescent="0.3">
      <c r="A276" s="34" t="s">
        <v>74</v>
      </c>
      <c r="B276" s="34" t="s">
        <v>61</v>
      </c>
      <c r="C276" s="34" t="s">
        <v>76</v>
      </c>
      <c r="D276" s="34" t="s">
        <v>69</v>
      </c>
      <c r="E276" s="37">
        <f t="shared" si="27"/>
        <v>164834.15000000005</v>
      </c>
      <c r="F276" s="37">
        <f t="shared" si="28"/>
        <v>164834.15002760006</v>
      </c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</row>
    <row r="277" spans="1:19" x14ac:dyDescent="0.3">
      <c r="A277" s="34" t="s">
        <v>74</v>
      </c>
      <c r="B277" s="34" t="s">
        <v>61</v>
      </c>
      <c r="C277" s="34" t="s">
        <v>65</v>
      </c>
      <c r="D277" s="34" t="s">
        <v>78</v>
      </c>
      <c r="E277" s="37">
        <f t="shared" si="27"/>
        <v>147091.00000000003</v>
      </c>
      <c r="F277" s="37">
        <f t="shared" si="28"/>
        <v>147091.00002770004</v>
      </c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</row>
    <row r="278" spans="1:19" x14ac:dyDescent="0.3">
      <c r="A278" s="34" t="s">
        <v>74</v>
      </c>
      <c r="B278" s="34" t="s">
        <v>61</v>
      </c>
      <c r="C278" s="34" t="s">
        <v>65</v>
      </c>
      <c r="D278" s="34" t="s">
        <v>73</v>
      </c>
      <c r="E278" s="37">
        <f t="shared" si="27"/>
        <v>0</v>
      </c>
      <c r="F278" s="37">
        <f t="shared" si="28"/>
        <v>2.7799999999999998E-5</v>
      </c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</row>
    <row r="279" spans="1:19" x14ac:dyDescent="0.3">
      <c r="A279" s="34" t="s">
        <v>74</v>
      </c>
      <c r="B279" s="34" t="s">
        <v>61</v>
      </c>
      <c r="C279" s="34" t="s">
        <v>65</v>
      </c>
      <c r="D279" s="34" t="s">
        <v>72</v>
      </c>
      <c r="E279" s="37">
        <f t="shared" si="27"/>
        <v>241186.38000000003</v>
      </c>
      <c r="F279" s="37">
        <f t="shared" si="28"/>
        <v>241186.38002790004</v>
      </c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</row>
    <row r="280" spans="1:19" x14ac:dyDescent="0.3">
      <c r="A280" s="34" t="s">
        <v>74</v>
      </c>
      <c r="B280" s="34" t="s">
        <v>61</v>
      </c>
      <c r="C280" s="34" t="s">
        <v>65</v>
      </c>
      <c r="D280" s="34" t="s">
        <v>77</v>
      </c>
      <c r="E280" s="37">
        <f t="shared" si="27"/>
        <v>64382.07</v>
      </c>
      <c r="F280" s="37">
        <f t="shared" si="28"/>
        <v>64382.070028000002</v>
      </c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</row>
    <row r="281" spans="1:19" x14ac:dyDescent="0.3">
      <c r="A281" s="34" t="s">
        <v>74</v>
      </c>
      <c r="B281" s="34" t="s">
        <v>61</v>
      </c>
      <c r="C281" s="34" t="s">
        <v>65</v>
      </c>
      <c r="D281" s="34" t="s">
        <v>63</v>
      </c>
      <c r="E281" s="37">
        <f t="shared" si="27"/>
        <v>132440.1</v>
      </c>
      <c r="F281" s="37">
        <f t="shared" si="28"/>
        <v>132440.10002810002</v>
      </c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</row>
    <row r="282" spans="1:19" x14ac:dyDescent="0.3">
      <c r="A282" s="34" t="s">
        <v>74</v>
      </c>
      <c r="B282" s="34" t="s">
        <v>61</v>
      </c>
      <c r="C282" s="34" t="s">
        <v>65</v>
      </c>
      <c r="D282" s="34" t="s">
        <v>66</v>
      </c>
      <c r="E282" s="37">
        <f t="shared" si="27"/>
        <v>39635.820000000007</v>
      </c>
      <c r="F282" s="37">
        <f t="shared" si="28"/>
        <v>39635.820028200003</v>
      </c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</row>
    <row r="283" spans="1:19" x14ac:dyDescent="0.3">
      <c r="A283" s="34" t="s">
        <v>74</v>
      </c>
      <c r="B283" s="34" t="s">
        <v>61</v>
      </c>
      <c r="C283" s="34" t="s">
        <v>65</v>
      </c>
      <c r="D283" s="34" t="s">
        <v>69</v>
      </c>
      <c r="E283" s="37">
        <f t="shared" si="27"/>
        <v>121073.46</v>
      </c>
      <c r="F283" s="37">
        <f t="shared" si="28"/>
        <v>121073.4600283</v>
      </c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</row>
    <row r="284" spans="1:19" x14ac:dyDescent="0.3">
      <c r="A284" s="34" t="s">
        <v>74</v>
      </c>
      <c r="B284" s="34" t="s">
        <v>61</v>
      </c>
      <c r="C284" s="34" t="s">
        <v>62</v>
      </c>
      <c r="D284" s="34" t="s">
        <v>78</v>
      </c>
      <c r="E284" s="37">
        <f t="shared" si="27"/>
        <v>21448.35</v>
      </c>
      <c r="F284" s="37">
        <f t="shared" si="28"/>
        <v>21448.3500284</v>
      </c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</row>
    <row r="285" spans="1:19" x14ac:dyDescent="0.3">
      <c r="A285" s="34" t="s">
        <v>74</v>
      </c>
      <c r="B285" s="34" t="s">
        <v>61</v>
      </c>
      <c r="C285" s="34" t="s">
        <v>62</v>
      </c>
      <c r="D285" s="34" t="s">
        <v>73</v>
      </c>
      <c r="E285" s="37">
        <f t="shared" si="27"/>
        <v>58414.559999999998</v>
      </c>
      <c r="F285" s="37">
        <f t="shared" si="28"/>
        <v>58414.560028499996</v>
      </c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</row>
    <row r="286" spans="1:19" x14ac:dyDescent="0.3">
      <c r="A286" s="34" t="s">
        <v>74</v>
      </c>
      <c r="B286" s="34" t="s">
        <v>61</v>
      </c>
      <c r="C286" s="34" t="s">
        <v>62</v>
      </c>
      <c r="D286" s="34" t="s">
        <v>72</v>
      </c>
      <c r="E286" s="37">
        <f t="shared" si="27"/>
        <v>46206.17</v>
      </c>
      <c r="F286" s="37">
        <f t="shared" si="28"/>
        <v>46206.170028599998</v>
      </c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</row>
    <row r="287" spans="1:19" x14ac:dyDescent="0.3">
      <c r="A287" s="34" t="s">
        <v>74</v>
      </c>
      <c r="B287" s="34" t="s">
        <v>61</v>
      </c>
      <c r="C287" s="34" t="s">
        <v>62</v>
      </c>
      <c r="D287" s="34" t="s">
        <v>77</v>
      </c>
      <c r="E287" s="37">
        <f t="shared" ref="E287:E350" si="29">SUMIFS(d_rev,d_date,"&gt;="&amp;$B$9,d_date,"&lt;="&amp;$B$10,d_plat,$C$4,d_type,$C$7,d_ind,$C$5,d_ctry,$C$6,d_plat,$A287,d_type,$B287,d_ind,$C287,d_ctry,$D287)</f>
        <v>74978.61</v>
      </c>
      <c r="F287" s="37">
        <f t="shared" ref="F287:F350" si="30">E287+ROW()*0.0000001</f>
        <v>74978.610028700001</v>
      </c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</row>
    <row r="288" spans="1:19" x14ac:dyDescent="0.3">
      <c r="A288" s="34" t="s">
        <v>74</v>
      </c>
      <c r="B288" s="34" t="s">
        <v>61</v>
      </c>
      <c r="C288" s="34" t="s">
        <v>62</v>
      </c>
      <c r="D288" s="34" t="s">
        <v>63</v>
      </c>
      <c r="E288" s="37">
        <f t="shared" si="29"/>
        <v>53606.340000000004</v>
      </c>
      <c r="F288" s="37">
        <f t="shared" si="30"/>
        <v>53606.340028800005</v>
      </c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</row>
    <row r="289" spans="1:19" x14ac:dyDescent="0.3">
      <c r="A289" s="34" t="s">
        <v>74</v>
      </c>
      <c r="B289" s="34" t="s">
        <v>61</v>
      </c>
      <c r="C289" s="34" t="s">
        <v>62</v>
      </c>
      <c r="D289" s="34" t="s">
        <v>66</v>
      </c>
      <c r="E289" s="37">
        <f t="shared" si="29"/>
        <v>148203.83000000002</v>
      </c>
      <c r="F289" s="37">
        <f t="shared" si="30"/>
        <v>148203.8300289</v>
      </c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</row>
    <row r="290" spans="1:19" x14ac:dyDescent="0.3">
      <c r="A290" s="34" t="s">
        <v>74</v>
      </c>
      <c r="B290" s="34" t="s">
        <v>61</v>
      </c>
      <c r="C290" s="34" t="s">
        <v>62</v>
      </c>
      <c r="D290" s="34" t="s">
        <v>69</v>
      </c>
      <c r="E290" s="37">
        <f t="shared" si="29"/>
        <v>100286.71999999999</v>
      </c>
      <c r="F290" s="37">
        <f t="shared" si="30"/>
        <v>100286.72002899999</v>
      </c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</row>
    <row r="291" spans="1:19" x14ac:dyDescent="0.3">
      <c r="A291" s="34" t="s">
        <v>74</v>
      </c>
      <c r="B291" s="34" t="s">
        <v>61</v>
      </c>
      <c r="C291" s="34" t="s">
        <v>68</v>
      </c>
      <c r="D291" s="34" t="s">
        <v>78</v>
      </c>
      <c r="E291" s="37">
        <f t="shared" si="29"/>
        <v>126540.91</v>
      </c>
      <c r="F291" s="37">
        <f t="shared" si="30"/>
        <v>126540.91002910001</v>
      </c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</row>
    <row r="292" spans="1:19" x14ac:dyDescent="0.3">
      <c r="A292" s="34" t="s">
        <v>74</v>
      </c>
      <c r="B292" s="34" t="s">
        <v>61</v>
      </c>
      <c r="C292" s="34" t="s">
        <v>68</v>
      </c>
      <c r="D292" s="34" t="s">
        <v>73</v>
      </c>
      <c r="E292" s="37">
        <f t="shared" si="29"/>
        <v>71763.459999999992</v>
      </c>
      <c r="F292" s="37">
        <f t="shared" si="30"/>
        <v>71763.460029199996</v>
      </c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</row>
    <row r="293" spans="1:19" x14ac:dyDescent="0.3">
      <c r="A293" s="34" t="s">
        <v>74</v>
      </c>
      <c r="B293" s="34" t="s">
        <v>61</v>
      </c>
      <c r="C293" s="34" t="s">
        <v>68</v>
      </c>
      <c r="D293" s="34" t="s">
        <v>72</v>
      </c>
      <c r="E293" s="37">
        <f t="shared" si="29"/>
        <v>34953.86</v>
      </c>
      <c r="F293" s="37">
        <f t="shared" si="30"/>
        <v>34953.860029299998</v>
      </c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</row>
    <row r="294" spans="1:19" x14ac:dyDescent="0.3">
      <c r="A294" s="34" t="s">
        <v>74</v>
      </c>
      <c r="B294" s="34" t="s">
        <v>61</v>
      </c>
      <c r="C294" s="34" t="s">
        <v>68</v>
      </c>
      <c r="D294" s="34" t="s">
        <v>77</v>
      </c>
      <c r="E294" s="37">
        <f t="shared" si="29"/>
        <v>156422.97</v>
      </c>
      <c r="F294" s="37">
        <f t="shared" si="30"/>
        <v>156422.97002939999</v>
      </c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</row>
    <row r="295" spans="1:19" x14ac:dyDescent="0.3">
      <c r="A295" s="34" t="s">
        <v>74</v>
      </c>
      <c r="B295" s="34" t="s">
        <v>61</v>
      </c>
      <c r="C295" s="34" t="s">
        <v>68</v>
      </c>
      <c r="D295" s="34" t="s">
        <v>63</v>
      </c>
      <c r="E295" s="37">
        <f t="shared" si="29"/>
        <v>87290.260000000009</v>
      </c>
      <c r="F295" s="37">
        <f t="shared" si="30"/>
        <v>87290.260029500016</v>
      </c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</row>
    <row r="296" spans="1:19" x14ac:dyDescent="0.3">
      <c r="A296" s="34" t="s">
        <v>74</v>
      </c>
      <c r="B296" s="34" t="s">
        <v>61</v>
      </c>
      <c r="C296" s="34" t="s">
        <v>68</v>
      </c>
      <c r="D296" s="34" t="s">
        <v>66</v>
      </c>
      <c r="E296" s="37">
        <f t="shared" si="29"/>
        <v>152619.53</v>
      </c>
      <c r="F296" s="37">
        <f t="shared" si="30"/>
        <v>152619.53002959999</v>
      </c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</row>
    <row r="297" spans="1:19" x14ac:dyDescent="0.3">
      <c r="A297" s="34" t="s">
        <v>74</v>
      </c>
      <c r="B297" s="34" t="s">
        <v>61</v>
      </c>
      <c r="C297" s="34" t="s">
        <v>68</v>
      </c>
      <c r="D297" s="34" t="s">
        <v>69</v>
      </c>
      <c r="E297" s="37">
        <f t="shared" si="29"/>
        <v>218085.75000000006</v>
      </c>
      <c r="F297" s="37">
        <f t="shared" si="30"/>
        <v>218085.75002970005</v>
      </c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</row>
    <row r="298" spans="1:19" x14ac:dyDescent="0.3">
      <c r="A298" s="34" t="s">
        <v>74</v>
      </c>
      <c r="B298" s="34" t="s">
        <v>61</v>
      </c>
      <c r="C298" s="34" t="s">
        <v>71</v>
      </c>
      <c r="D298" s="34" t="s">
        <v>78</v>
      </c>
      <c r="E298" s="37">
        <f t="shared" si="29"/>
        <v>2116.06</v>
      </c>
      <c r="F298" s="37">
        <f t="shared" si="30"/>
        <v>2116.0600297999999</v>
      </c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</row>
    <row r="299" spans="1:19" x14ac:dyDescent="0.3">
      <c r="A299" s="34" t="s">
        <v>74</v>
      </c>
      <c r="B299" s="34" t="s">
        <v>61</v>
      </c>
      <c r="C299" s="34" t="s">
        <v>71</v>
      </c>
      <c r="D299" s="34" t="s">
        <v>73</v>
      </c>
      <c r="E299" s="37">
        <f t="shared" si="29"/>
        <v>14840.2</v>
      </c>
      <c r="F299" s="37">
        <f t="shared" si="30"/>
        <v>14840.200029900001</v>
      </c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</row>
    <row r="300" spans="1:19" x14ac:dyDescent="0.3">
      <c r="A300" s="34" t="s">
        <v>74</v>
      </c>
      <c r="B300" s="34" t="s">
        <v>61</v>
      </c>
      <c r="C300" s="34" t="s">
        <v>71</v>
      </c>
      <c r="D300" s="34" t="s">
        <v>72</v>
      </c>
      <c r="E300" s="37">
        <f t="shared" si="29"/>
        <v>78987.39</v>
      </c>
      <c r="F300" s="37">
        <f t="shared" si="30"/>
        <v>78987.390029999995</v>
      </c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</row>
    <row r="301" spans="1:19" x14ac:dyDescent="0.3">
      <c r="A301" s="34" t="s">
        <v>74</v>
      </c>
      <c r="B301" s="34" t="s">
        <v>61</v>
      </c>
      <c r="C301" s="34" t="s">
        <v>71</v>
      </c>
      <c r="D301" s="34" t="s">
        <v>77</v>
      </c>
      <c r="E301" s="37">
        <f t="shared" si="29"/>
        <v>63698.11</v>
      </c>
      <c r="F301" s="37">
        <f t="shared" si="30"/>
        <v>63698.110030099997</v>
      </c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</row>
    <row r="302" spans="1:19" x14ac:dyDescent="0.3">
      <c r="A302" s="34" t="s">
        <v>74</v>
      </c>
      <c r="B302" s="34" t="s">
        <v>61</v>
      </c>
      <c r="C302" s="34" t="s">
        <v>71</v>
      </c>
      <c r="D302" s="34" t="s">
        <v>63</v>
      </c>
      <c r="E302" s="37">
        <f t="shared" si="29"/>
        <v>29417.67</v>
      </c>
      <c r="F302" s="37">
        <f t="shared" si="30"/>
        <v>29417.670030199999</v>
      </c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</row>
    <row r="303" spans="1:19" x14ac:dyDescent="0.3">
      <c r="A303" s="34" t="s">
        <v>74</v>
      </c>
      <c r="B303" s="34" t="s">
        <v>61</v>
      </c>
      <c r="C303" s="34" t="s">
        <v>71</v>
      </c>
      <c r="D303" s="34" t="s">
        <v>66</v>
      </c>
      <c r="E303" s="37">
        <f t="shared" si="29"/>
        <v>157203.71000000002</v>
      </c>
      <c r="F303" s="37">
        <f t="shared" si="30"/>
        <v>157203.71003030002</v>
      </c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</row>
    <row r="304" spans="1:19" x14ac:dyDescent="0.3">
      <c r="A304" s="34" t="s">
        <v>74</v>
      </c>
      <c r="B304" s="34" t="s">
        <v>61</v>
      </c>
      <c r="C304" s="34" t="s">
        <v>71</v>
      </c>
      <c r="D304" s="34" t="s">
        <v>69</v>
      </c>
      <c r="E304" s="37">
        <f t="shared" si="29"/>
        <v>118768.88</v>
      </c>
      <c r="F304" s="37">
        <f t="shared" si="30"/>
        <v>118768.8800304</v>
      </c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</row>
    <row r="305" spans="1:19" x14ac:dyDescent="0.3">
      <c r="A305" s="34" t="s">
        <v>74</v>
      </c>
      <c r="B305" s="34" t="s">
        <v>70</v>
      </c>
      <c r="C305" s="34" t="s">
        <v>76</v>
      </c>
      <c r="D305" s="34" t="s">
        <v>78</v>
      </c>
      <c r="E305" s="37">
        <f t="shared" si="29"/>
        <v>13095.31</v>
      </c>
      <c r="F305" s="37">
        <f t="shared" si="30"/>
        <v>13095.310030499999</v>
      </c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</row>
    <row r="306" spans="1:19" x14ac:dyDescent="0.3">
      <c r="A306" s="34" t="s">
        <v>74</v>
      </c>
      <c r="B306" s="34" t="s">
        <v>70</v>
      </c>
      <c r="C306" s="34" t="s">
        <v>76</v>
      </c>
      <c r="D306" s="34" t="s">
        <v>73</v>
      </c>
      <c r="E306" s="37">
        <f t="shared" si="29"/>
        <v>173624.49</v>
      </c>
      <c r="F306" s="37">
        <f t="shared" si="30"/>
        <v>173624.49003059999</v>
      </c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</row>
    <row r="307" spans="1:19" x14ac:dyDescent="0.3">
      <c r="A307" s="34" t="s">
        <v>74</v>
      </c>
      <c r="B307" s="34" t="s">
        <v>70</v>
      </c>
      <c r="C307" s="34" t="s">
        <v>76</v>
      </c>
      <c r="D307" s="34" t="s">
        <v>72</v>
      </c>
      <c r="E307" s="37">
        <f t="shared" si="29"/>
        <v>151748.94</v>
      </c>
      <c r="F307" s="37">
        <f t="shared" si="30"/>
        <v>151748.9400307</v>
      </c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</row>
    <row r="308" spans="1:19" x14ac:dyDescent="0.3">
      <c r="A308" s="34" t="s">
        <v>74</v>
      </c>
      <c r="B308" s="34" t="s">
        <v>70</v>
      </c>
      <c r="C308" s="34" t="s">
        <v>76</v>
      </c>
      <c r="D308" s="34" t="s">
        <v>77</v>
      </c>
      <c r="E308" s="37">
        <f t="shared" si="29"/>
        <v>67310.33</v>
      </c>
      <c r="F308" s="37">
        <f t="shared" si="30"/>
        <v>67310.330030800003</v>
      </c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</row>
    <row r="309" spans="1:19" x14ac:dyDescent="0.3">
      <c r="A309" s="34" t="s">
        <v>74</v>
      </c>
      <c r="B309" s="34" t="s">
        <v>70</v>
      </c>
      <c r="C309" s="34" t="s">
        <v>76</v>
      </c>
      <c r="D309" s="34" t="s">
        <v>63</v>
      </c>
      <c r="E309" s="37">
        <f t="shared" si="29"/>
        <v>3570.09</v>
      </c>
      <c r="F309" s="37">
        <f t="shared" si="30"/>
        <v>3570.0900309000003</v>
      </c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</row>
    <row r="310" spans="1:19" x14ac:dyDescent="0.3">
      <c r="A310" s="34" t="s">
        <v>74</v>
      </c>
      <c r="B310" s="34" t="s">
        <v>70</v>
      </c>
      <c r="C310" s="34" t="s">
        <v>76</v>
      </c>
      <c r="D310" s="34" t="s">
        <v>66</v>
      </c>
      <c r="E310" s="37">
        <f t="shared" si="29"/>
        <v>119061.82</v>
      </c>
      <c r="F310" s="37">
        <f t="shared" si="30"/>
        <v>119061.82003100001</v>
      </c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</row>
    <row r="311" spans="1:19" x14ac:dyDescent="0.3">
      <c r="A311" s="34" t="s">
        <v>74</v>
      </c>
      <c r="B311" s="34" t="s">
        <v>70</v>
      </c>
      <c r="C311" s="34" t="s">
        <v>76</v>
      </c>
      <c r="D311" s="34" t="s">
        <v>69</v>
      </c>
      <c r="E311" s="37">
        <f t="shared" si="29"/>
        <v>27298.260000000002</v>
      </c>
      <c r="F311" s="37">
        <f t="shared" si="30"/>
        <v>27298.260031100002</v>
      </c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</row>
    <row r="312" spans="1:19" x14ac:dyDescent="0.3">
      <c r="A312" s="34" t="s">
        <v>74</v>
      </c>
      <c r="B312" s="34" t="s">
        <v>70</v>
      </c>
      <c r="C312" s="34" t="s">
        <v>65</v>
      </c>
      <c r="D312" s="34" t="s">
        <v>78</v>
      </c>
      <c r="E312" s="37">
        <f t="shared" si="29"/>
        <v>18620.43</v>
      </c>
      <c r="F312" s="37">
        <f t="shared" si="30"/>
        <v>18620.430031200001</v>
      </c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</row>
    <row r="313" spans="1:19" x14ac:dyDescent="0.3">
      <c r="A313" s="34" t="s">
        <v>74</v>
      </c>
      <c r="B313" s="34" t="s">
        <v>70</v>
      </c>
      <c r="C313" s="34" t="s">
        <v>65</v>
      </c>
      <c r="D313" s="34" t="s">
        <v>73</v>
      </c>
      <c r="E313" s="37">
        <f t="shared" si="29"/>
        <v>25681.72</v>
      </c>
      <c r="F313" s="37">
        <f t="shared" si="30"/>
        <v>25681.720031299999</v>
      </c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</row>
    <row r="314" spans="1:19" x14ac:dyDescent="0.3">
      <c r="A314" s="34" t="s">
        <v>74</v>
      </c>
      <c r="B314" s="34" t="s">
        <v>70</v>
      </c>
      <c r="C314" s="34" t="s">
        <v>65</v>
      </c>
      <c r="D314" s="34" t="s">
        <v>72</v>
      </c>
      <c r="E314" s="37">
        <f t="shared" si="29"/>
        <v>157770.6</v>
      </c>
      <c r="F314" s="37">
        <f t="shared" si="30"/>
        <v>157770.60003140001</v>
      </c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</row>
    <row r="315" spans="1:19" x14ac:dyDescent="0.3">
      <c r="A315" s="34" t="s">
        <v>74</v>
      </c>
      <c r="B315" s="34" t="s">
        <v>70</v>
      </c>
      <c r="C315" s="34" t="s">
        <v>65</v>
      </c>
      <c r="D315" s="34" t="s">
        <v>77</v>
      </c>
      <c r="E315" s="37">
        <f t="shared" si="29"/>
        <v>82096.800000000003</v>
      </c>
      <c r="F315" s="37">
        <f t="shared" si="30"/>
        <v>82096.80003150001</v>
      </c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</row>
    <row r="316" spans="1:19" x14ac:dyDescent="0.3">
      <c r="A316" s="34" t="s">
        <v>74</v>
      </c>
      <c r="B316" s="34" t="s">
        <v>70</v>
      </c>
      <c r="C316" s="34" t="s">
        <v>65</v>
      </c>
      <c r="D316" s="34" t="s">
        <v>63</v>
      </c>
      <c r="E316" s="37">
        <f t="shared" si="29"/>
        <v>58035.770000000004</v>
      </c>
      <c r="F316" s="37">
        <f t="shared" si="30"/>
        <v>58035.770031600005</v>
      </c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</row>
    <row r="317" spans="1:19" x14ac:dyDescent="0.3">
      <c r="A317" s="34" t="s">
        <v>74</v>
      </c>
      <c r="B317" s="34" t="s">
        <v>70</v>
      </c>
      <c r="C317" s="34" t="s">
        <v>65</v>
      </c>
      <c r="D317" s="34" t="s">
        <v>66</v>
      </c>
      <c r="E317" s="37">
        <f t="shared" si="29"/>
        <v>85905.85</v>
      </c>
      <c r="F317" s="37">
        <f t="shared" si="30"/>
        <v>85905.8500317</v>
      </c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</row>
    <row r="318" spans="1:19" x14ac:dyDescent="0.3">
      <c r="A318" s="34" t="s">
        <v>74</v>
      </c>
      <c r="B318" s="34" t="s">
        <v>70</v>
      </c>
      <c r="C318" s="34" t="s">
        <v>65</v>
      </c>
      <c r="D318" s="34" t="s">
        <v>69</v>
      </c>
      <c r="E318" s="37">
        <f t="shared" si="29"/>
        <v>26949.309999999998</v>
      </c>
      <c r="F318" s="37">
        <f t="shared" si="30"/>
        <v>26949.310031799996</v>
      </c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</row>
    <row r="319" spans="1:19" x14ac:dyDescent="0.3">
      <c r="A319" s="34" t="s">
        <v>74</v>
      </c>
      <c r="B319" s="34" t="s">
        <v>70</v>
      </c>
      <c r="C319" s="34" t="s">
        <v>62</v>
      </c>
      <c r="D319" s="34" t="s">
        <v>78</v>
      </c>
      <c r="E319" s="37">
        <f t="shared" si="29"/>
        <v>168209.62</v>
      </c>
      <c r="F319" s="37">
        <f t="shared" si="30"/>
        <v>168209.62003190001</v>
      </c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</row>
    <row r="320" spans="1:19" x14ac:dyDescent="0.3">
      <c r="A320" s="34" t="s">
        <v>74</v>
      </c>
      <c r="B320" s="34" t="s">
        <v>70</v>
      </c>
      <c r="C320" s="34" t="s">
        <v>62</v>
      </c>
      <c r="D320" s="34" t="s">
        <v>73</v>
      </c>
      <c r="E320" s="37">
        <f t="shared" si="29"/>
        <v>44331.91</v>
      </c>
      <c r="F320" s="37">
        <f t="shared" si="30"/>
        <v>44331.910032000007</v>
      </c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</row>
    <row r="321" spans="1:19" x14ac:dyDescent="0.3">
      <c r="A321" s="34" t="s">
        <v>74</v>
      </c>
      <c r="B321" s="34" t="s">
        <v>70</v>
      </c>
      <c r="C321" s="34" t="s">
        <v>62</v>
      </c>
      <c r="D321" s="34" t="s">
        <v>72</v>
      </c>
      <c r="E321" s="37">
        <f t="shared" si="29"/>
        <v>51350.85</v>
      </c>
      <c r="F321" s="37">
        <f t="shared" si="30"/>
        <v>51350.850032099996</v>
      </c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</row>
    <row r="322" spans="1:19" x14ac:dyDescent="0.3">
      <c r="A322" s="34" t="s">
        <v>74</v>
      </c>
      <c r="B322" s="34" t="s">
        <v>70</v>
      </c>
      <c r="C322" s="34" t="s">
        <v>62</v>
      </c>
      <c r="D322" s="34" t="s">
        <v>77</v>
      </c>
      <c r="E322" s="37">
        <f t="shared" si="29"/>
        <v>67545.650000000009</v>
      </c>
      <c r="F322" s="37">
        <f t="shared" si="30"/>
        <v>67545.650032200007</v>
      </c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</row>
    <row r="323" spans="1:19" x14ac:dyDescent="0.3">
      <c r="A323" s="34" t="s">
        <v>74</v>
      </c>
      <c r="B323" s="34" t="s">
        <v>70</v>
      </c>
      <c r="C323" s="34" t="s">
        <v>62</v>
      </c>
      <c r="D323" s="34" t="s">
        <v>63</v>
      </c>
      <c r="E323" s="37">
        <f t="shared" si="29"/>
        <v>102736.87</v>
      </c>
      <c r="F323" s="37">
        <f t="shared" si="30"/>
        <v>102736.87003229999</v>
      </c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</row>
    <row r="324" spans="1:19" x14ac:dyDescent="0.3">
      <c r="A324" s="34" t="s">
        <v>74</v>
      </c>
      <c r="B324" s="34" t="s">
        <v>70</v>
      </c>
      <c r="C324" s="34" t="s">
        <v>62</v>
      </c>
      <c r="D324" s="34" t="s">
        <v>66</v>
      </c>
      <c r="E324" s="37">
        <f t="shared" si="29"/>
        <v>2188.9299999999998</v>
      </c>
      <c r="F324" s="37">
        <f t="shared" si="30"/>
        <v>2188.9300323999996</v>
      </c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</row>
    <row r="325" spans="1:19" x14ac:dyDescent="0.3">
      <c r="A325" s="34" t="s">
        <v>74</v>
      </c>
      <c r="B325" s="34" t="s">
        <v>70</v>
      </c>
      <c r="C325" s="34" t="s">
        <v>62</v>
      </c>
      <c r="D325" s="34" t="s">
        <v>69</v>
      </c>
      <c r="E325" s="37">
        <f t="shared" si="29"/>
        <v>130052.77999999998</v>
      </c>
      <c r="F325" s="37">
        <f t="shared" si="30"/>
        <v>130052.78003249998</v>
      </c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</row>
    <row r="326" spans="1:19" x14ac:dyDescent="0.3">
      <c r="A326" s="34" t="s">
        <v>74</v>
      </c>
      <c r="B326" s="34" t="s">
        <v>70</v>
      </c>
      <c r="C326" s="34" t="s">
        <v>68</v>
      </c>
      <c r="D326" s="34" t="s">
        <v>78</v>
      </c>
      <c r="E326" s="37">
        <f t="shared" si="29"/>
        <v>44094.95</v>
      </c>
      <c r="F326" s="37">
        <f t="shared" si="30"/>
        <v>44094.950032599998</v>
      </c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</row>
    <row r="327" spans="1:19" x14ac:dyDescent="0.3">
      <c r="A327" s="34" t="s">
        <v>74</v>
      </c>
      <c r="B327" s="34" t="s">
        <v>70</v>
      </c>
      <c r="C327" s="34" t="s">
        <v>68</v>
      </c>
      <c r="D327" s="34" t="s">
        <v>73</v>
      </c>
      <c r="E327" s="37">
        <f t="shared" si="29"/>
        <v>159707.01999999999</v>
      </c>
      <c r="F327" s="37">
        <f t="shared" si="30"/>
        <v>159707.02003269998</v>
      </c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</row>
    <row r="328" spans="1:19" x14ac:dyDescent="0.3">
      <c r="A328" s="34" t="s">
        <v>74</v>
      </c>
      <c r="B328" s="34" t="s">
        <v>70</v>
      </c>
      <c r="C328" s="34" t="s">
        <v>68</v>
      </c>
      <c r="D328" s="34" t="s">
        <v>72</v>
      </c>
      <c r="E328" s="37">
        <f t="shared" si="29"/>
        <v>34331.490000000005</v>
      </c>
      <c r="F328" s="37">
        <f t="shared" si="30"/>
        <v>34331.490032800008</v>
      </c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</row>
    <row r="329" spans="1:19" x14ac:dyDescent="0.3">
      <c r="A329" s="34" t="s">
        <v>74</v>
      </c>
      <c r="B329" s="34" t="s">
        <v>70</v>
      </c>
      <c r="C329" s="34" t="s">
        <v>68</v>
      </c>
      <c r="D329" s="34" t="s">
        <v>77</v>
      </c>
      <c r="E329" s="37">
        <f t="shared" si="29"/>
        <v>118759.16999999998</v>
      </c>
      <c r="F329" s="37">
        <f t="shared" si="30"/>
        <v>118759.17003289999</v>
      </c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</row>
    <row r="330" spans="1:19" x14ac:dyDescent="0.3">
      <c r="A330" s="34" t="s">
        <v>74</v>
      </c>
      <c r="B330" s="34" t="s">
        <v>70</v>
      </c>
      <c r="C330" s="34" t="s">
        <v>68</v>
      </c>
      <c r="D330" s="34" t="s">
        <v>63</v>
      </c>
      <c r="E330" s="37">
        <f t="shared" si="29"/>
        <v>214514.52</v>
      </c>
      <c r="F330" s="37">
        <f t="shared" si="30"/>
        <v>214514.52003299998</v>
      </c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</row>
    <row r="331" spans="1:19" x14ac:dyDescent="0.3">
      <c r="A331" s="34" t="s">
        <v>74</v>
      </c>
      <c r="B331" s="34" t="s">
        <v>70</v>
      </c>
      <c r="C331" s="34" t="s">
        <v>68</v>
      </c>
      <c r="D331" s="34" t="s">
        <v>66</v>
      </c>
      <c r="E331" s="37">
        <f t="shared" si="29"/>
        <v>217003.37999999998</v>
      </c>
      <c r="F331" s="37">
        <f t="shared" si="30"/>
        <v>217003.38003309997</v>
      </c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</row>
    <row r="332" spans="1:19" x14ac:dyDescent="0.3">
      <c r="A332" s="34" t="s">
        <v>74</v>
      </c>
      <c r="B332" s="34" t="s">
        <v>70</v>
      </c>
      <c r="C332" s="34" t="s">
        <v>68</v>
      </c>
      <c r="D332" s="34" t="s">
        <v>69</v>
      </c>
      <c r="E332" s="37">
        <f t="shared" si="29"/>
        <v>90414.41</v>
      </c>
      <c r="F332" s="37">
        <f t="shared" si="30"/>
        <v>90414.410033200009</v>
      </c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</row>
    <row r="333" spans="1:19" x14ac:dyDescent="0.3">
      <c r="A333" s="34" t="s">
        <v>74</v>
      </c>
      <c r="B333" s="34" t="s">
        <v>70</v>
      </c>
      <c r="C333" s="34" t="s">
        <v>71</v>
      </c>
      <c r="D333" s="34" t="s">
        <v>78</v>
      </c>
      <c r="E333" s="37">
        <f t="shared" si="29"/>
        <v>45797.31</v>
      </c>
      <c r="F333" s="37">
        <f t="shared" si="30"/>
        <v>45797.310033299997</v>
      </c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</row>
    <row r="334" spans="1:19" x14ac:dyDescent="0.3">
      <c r="A334" s="34" t="s">
        <v>74</v>
      </c>
      <c r="B334" s="34" t="s">
        <v>70</v>
      </c>
      <c r="C334" s="34" t="s">
        <v>71</v>
      </c>
      <c r="D334" s="34" t="s">
        <v>73</v>
      </c>
      <c r="E334" s="37">
        <f t="shared" si="29"/>
        <v>59645.12000000001</v>
      </c>
      <c r="F334" s="37">
        <f t="shared" si="30"/>
        <v>59645.12003340001</v>
      </c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</row>
    <row r="335" spans="1:19" x14ac:dyDescent="0.3">
      <c r="A335" s="34" t="s">
        <v>74</v>
      </c>
      <c r="B335" s="34" t="s">
        <v>70</v>
      </c>
      <c r="C335" s="34" t="s">
        <v>71</v>
      </c>
      <c r="D335" s="34" t="s">
        <v>72</v>
      </c>
      <c r="E335" s="37">
        <f t="shared" si="29"/>
        <v>11673.939999999999</v>
      </c>
      <c r="F335" s="37">
        <f t="shared" si="30"/>
        <v>11673.940033499999</v>
      </c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</row>
    <row r="336" spans="1:19" x14ac:dyDescent="0.3">
      <c r="A336" s="34" t="s">
        <v>74</v>
      </c>
      <c r="B336" s="34" t="s">
        <v>70</v>
      </c>
      <c r="C336" s="34" t="s">
        <v>71</v>
      </c>
      <c r="D336" s="34" t="s">
        <v>77</v>
      </c>
      <c r="E336" s="37">
        <f t="shared" si="29"/>
        <v>45221.05</v>
      </c>
      <c r="F336" s="37">
        <f t="shared" si="30"/>
        <v>45221.050033600004</v>
      </c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</row>
    <row r="337" spans="1:19" x14ac:dyDescent="0.3">
      <c r="A337" s="34" t="s">
        <v>74</v>
      </c>
      <c r="B337" s="34" t="s">
        <v>70</v>
      </c>
      <c r="C337" s="34" t="s">
        <v>71</v>
      </c>
      <c r="D337" s="34" t="s">
        <v>63</v>
      </c>
      <c r="E337" s="37">
        <f t="shared" si="29"/>
        <v>29612.74</v>
      </c>
      <c r="F337" s="37">
        <f t="shared" si="30"/>
        <v>29612.7400337</v>
      </c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</row>
    <row r="338" spans="1:19" x14ac:dyDescent="0.3">
      <c r="A338" s="34" t="s">
        <v>74</v>
      </c>
      <c r="B338" s="34" t="s">
        <v>70</v>
      </c>
      <c r="C338" s="34" t="s">
        <v>71</v>
      </c>
      <c r="D338" s="34" t="s">
        <v>66</v>
      </c>
      <c r="E338" s="37">
        <f t="shared" si="29"/>
        <v>53109.22</v>
      </c>
      <c r="F338" s="37">
        <f t="shared" si="30"/>
        <v>53109.220033800004</v>
      </c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</row>
    <row r="339" spans="1:19" x14ac:dyDescent="0.3">
      <c r="A339" s="34" t="s">
        <v>74</v>
      </c>
      <c r="B339" s="34" t="s">
        <v>70</v>
      </c>
      <c r="C339" s="34" t="s">
        <v>71</v>
      </c>
      <c r="D339" s="34" t="s">
        <v>69</v>
      </c>
      <c r="E339" s="37">
        <f t="shared" si="29"/>
        <v>77191.290000000008</v>
      </c>
      <c r="F339" s="37">
        <f t="shared" si="30"/>
        <v>77191.290033900004</v>
      </c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</row>
    <row r="340" spans="1:19" x14ac:dyDescent="0.3">
      <c r="A340" s="34" t="s">
        <v>74</v>
      </c>
      <c r="B340" s="34" t="s">
        <v>67</v>
      </c>
      <c r="C340" s="34" t="s">
        <v>76</v>
      </c>
      <c r="D340" s="34" t="s">
        <v>78</v>
      </c>
      <c r="E340" s="37">
        <f t="shared" si="29"/>
        <v>35830.490000000005</v>
      </c>
      <c r="F340" s="37">
        <f t="shared" si="30"/>
        <v>35830.490034000002</v>
      </c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</row>
    <row r="341" spans="1:19" x14ac:dyDescent="0.3">
      <c r="A341" s="34" t="s">
        <v>74</v>
      </c>
      <c r="B341" s="34" t="s">
        <v>67</v>
      </c>
      <c r="C341" s="34" t="s">
        <v>76</v>
      </c>
      <c r="D341" s="34" t="s">
        <v>73</v>
      </c>
      <c r="E341" s="37">
        <f t="shared" si="29"/>
        <v>152265.30000000002</v>
      </c>
      <c r="F341" s="37">
        <f t="shared" si="30"/>
        <v>152265.30003410002</v>
      </c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</row>
    <row r="342" spans="1:19" x14ac:dyDescent="0.3">
      <c r="A342" s="34" t="s">
        <v>74</v>
      </c>
      <c r="B342" s="34" t="s">
        <v>67</v>
      </c>
      <c r="C342" s="34" t="s">
        <v>76</v>
      </c>
      <c r="D342" s="34" t="s">
        <v>72</v>
      </c>
      <c r="E342" s="37">
        <f t="shared" si="29"/>
        <v>169200.90000000002</v>
      </c>
      <c r="F342" s="37">
        <f t="shared" si="30"/>
        <v>169200.90003420002</v>
      </c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</row>
    <row r="343" spans="1:19" x14ac:dyDescent="0.3">
      <c r="A343" s="34" t="s">
        <v>74</v>
      </c>
      <c r="B343" s="34" t="s">
        <v>67</v>
      </c>
      <c r="C343" s="34" t="s">
        <v>76</v>
      </c>
      <c r="D343" s="34" t="s">
        <v>77</v>
      </c>
      <c r="E343" s="37">
        <f t="shared" si="29"/>
        <v>57061.259999999995</v>
      </c>
      <c r="F343" s="37">
        <f t="shared" si="30"/>
        <v>57061.260034299994</v>
      </c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</row>
    <row r="344" spans="1:19" x14ac:dyDescent="0.3">
      <c r="A344" s="34" t="s">
        <v>74</v>
      </c>
      <c r="B344" s="34" t="s">
        <v>67</v>
      </c>
      <c r="C344" s="34" t="s">
        <v>76</v>
      </c>
      <c r="D344" s="34" t="s">
        <v>63</v>
      </c>
      <c r="E344" s="37">
        <f t="shared" si="29"/>
        <v>172330.96</v>
      </c>
      <c r="F344" s="37">
        <f t="shared" si="30"/>
        <v>172330.96003439999</v>
      </c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</row>
    <row r="345" spans="1:19" x14ac:dyDescent="0.3">
      <c r="A345" s="34" t="s">
        <v>74</v>
      </c>
      <c r="B345" s="34" t="s">
        <v>67</v>
      </c>
      <c r="C345" s="34" t="s">
        <v>76</v>
      </c>
      <c r="D345" s="34" t="s">
        <v>66</v>
      </c>
      <c r="E345" s="37">
        <f t="shared" si="29"/>
        <v>54589.249999999993</v>
      </c>
      <c r="F345" s="37">
        <f t="shared" si="30"/>
        <v>54589.250034499993</v>
      </c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</row>
    <row r="346" spans="1:19" x14ac:dyDescent="0.3">
      <c r="A346" s="34" t="s">
        <v>74</v>
      </c>
      <c r="B346" s="34" t="s">
        <v>67</v>
      </c>
      <c r="C346" s="34" t="s">
        <v>76</v>
      </c>
      <c r="D346" s="34" t="s">
        <v>69</v>
      </c>
      <c r="E346" s="37">
        <f t="shared" si="29"/>
        <v>24139.850000000002</v>
      </c>
      <c r="F346" s="37">
        <f t="shared" si="30"/>
        <v>24139.850034600004</v>
      </c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</row>
    <row r="347" spans="1:19" x14ac:dyDescent="0.3">
      <c r="A347" s="34" t="s">
        <v>74</v>
      </c>
      <c r="B347" s="34" t="s">
        <v>67</v>
      </c>
      <c r="C347" s="34" t="s">
        <v>65</v>
      </c>
      <c r="D347" s="34" t="s">
        <v>78</v>
      </c>
      <c r="E347" s="37">
        <f t="shared" si="29"/>
        <v>106277.03000000001</v>
      </c>
      <c r="F347" s="37">
        <f t="shared" si="30"/>
        <v>106277.03003470002</v>
      </c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</row>
    <row r="348" spans="1:19" x14ac:dyDescent="0.3">
      <c r="A348" s="34" t="s">
        <v>74</v>
      </c>
      <c r="B348" s="34" t="s">
        <v>67</v>
      </c>
      <c r="C348" s="34" t="s">
        <v>65</v>
      </c>
      <c r="D348" s="34" t="s">
        <v>73</v>
      </c>
      <c r="E348" s="37">
        <f t="shared" si="29"/>
        <v>5186.03</v>
      </c>
      <c r="F348" s="37">
        <f t="shared" si="30"/>
        <v>5186.0300348000001</v>
      </c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</row>
    <row r="349" spans="1:19" x14ac:dyDescent="0.3">
      <c r="A349" s="34" t="s">
        <v>74</v>
      </c>
      <c r="B349" s="34" t="s">
        <v>67</v>
      </c>
      <c r="C349" s="34" t="s">
        <v>65</v>
      </c>
      <c r="D349" s="34" t="s">
        <v>72</v>
      </c>
      <c r="E349" s="37">
        <f t="shared" si="29"/>
        <v>235714.61000000002</v>
      </c>
      <c r="F349" s="37">
        <f t="shared" si="30"/>
        <v>235714.61003490002</v>
      </c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</row>
    <row r="350" spans="1:19" x14ac:dyDescent="0.3">
      <c r="A350" s="34" t="s">
        <v>74</v>
      </c>
      <c r="B350" s="34" t="s">
        <v>67</v>
      </c>
      <c r="C350" s="34" t="s">
        <v>65</v>
      </c>
      <c r="D350" s="34" t="s">
        <v>77</v>
      </c>
      <c r="E350" s="37">
        <f t="shared" si="29"/>
        <v>25565.03</v>
      </c>
      <c r="F350" s="37">
        <f t="shared" si="30"/>
        <v>25565.030035</v>
      </c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</row>
    <row r="351" spans="1:19" x14ac:dyDescent="0.3">
      <c r="A351" s="34" t="s">
        <v>74</v>
      </c>
      <c r="B351" s="34" t="s">
        <v>67</v>
      </c>
      <c r="C351" s="34" t="s">
        <v>65</v>
      </c>
      <c r="D351" s="34" t="s">
        <v>63</v>
      </c>
      <c r="E351" s="37">
        <f t="shared" ref="E351:E414" si="31">SUMIFS(d_rev,d_date,"&gt;="&amp;$B$9,d_date,"&lt;="&amp;$B$10,d_plat,$C$4,d_type,$C$7,d_ind,$C$5,d_ctry,$C$6,d_plat,$A351,d_type,$B351,d_ind,$C351,d_ctry,$D351)</f>
        <v>63591.350000000006</v>
      </c>
      <c r="F351" s="37">
        <f t="shared" ref="F351:F414" si="32">E351+ROW()*0.0000001</f>
        <v>63591.350035100004</v>
      </c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</row>
    <row r="352" spans="1:19" x14ac:dyDescent="0.3">
      <c r="A352" s="34" t="s">
        <v>74</v>
      </c>
      <c r="B352" s="34" t="s">
        <v>67</v>
      </c>
      <c r="C352" s="34" t="s">
        <v>65</v>
      </c>
      <c r="D352" s="34" t="s">
        <v>66</v>
      </c>
      <c r="E352" s="37">
        <f t="shared" si="31"/>
        <v>170088.85</v>
      </c>
      <c r="F352" s="37">
        <f t="shared" si="32"/>
        <v>170088.85003520001</v>
      </c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</row>
    <row r="353" spans="1:19" x14ac:dyDescent="0.3">
      <c r="A353" s="34" t="s">
        <v>74</v>
      </c>
      <c r="B353" s="34" t="s">
        <v>67</v>
      </c>
      <c r="C353" s="34" t="s">
        <v>65</v>
      </c>
      <c r="D353" s="34" t="s">
        <v>69</v>
      </c>
      <c r="E353" s="37">
        <f t="shared" si="31"/>
        <v>188427.69</v>
      </c>
      <c r="F353" s="37">
        <f t="shared" si="32"/>
        <v>188427.69003530001</v>
      </c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</row>
    <row r="354" spans="1:19" x14ac:dyDescent="0.3">
      <c r="A354" s="34" t="s">
        <v>74</v>
      </c>
      <c r="B354" s="34" t="s">
        <v>67</v>
      </c>
      <c r="C354" s="34" t="s">
        <v>62</v>
      </c>
      <c r="D354" s="34" t="s">
        <v>78</v>
      </c>
      <c r="E354" s="37">
        <f t="shared" si="31"/>
        <v>56259.67</v>
      </c>
      <c r="F354" s="37">
        <f t="shared" si="32"/>
        <v>56259.670035399999</v>
      </c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</row>
    <row r="355" spans="1:19" x14ac:dyDescent="0.3">
      <c r="A355" s="34" t="s">
        <v>74</v>
      </c>
      <c r="B355" s="34" t="s">
        <v>67</v>
      </c>
      <c r="C355" s="34" t="s">
        <v>62</v>
      </c>
      <c r="D355" s="34" t="s">
        <v>73</v>
      </c>
      <c r="E355" s="37">
        <f t="shared" si="31"/>
        <v>58879.48</v>
      </c>
      <c r="F355" s="37">
        <f t="shared" si="32"/>
        <v>58879.480035500004</v>
      </c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</row>
    <row r="356" spans="1:19" x14ac:dyDescent="0.3">
      <c r="A356" s="34" t="s">
        <v>74</v>
      </c>
      <c r="B356" s="34" t="s">
        <v>67</v>
      </c>
      <c r="C356" s="34" t="s">
        <v>62</v>
      </c>
      <c r="D356" s="34" t="s">
        <v>72</v>
      </c>
      <c r="E356" s="37">
        <f t="shared" si="31"/>
        <v>39785.800000000003</v>
      </c>
      <c r="F356" s="37">
        <f t="shared" si="32"/>
        <v>39785.800035600005</v>
      </c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</row>
    <row r="357" spans="1:19" x14ac:dyDescent="0.3">
      <c r="A357" s="34" t="s">
        <v>74</v>
      </c>
      <c r="B357" s="34" t="s">
        <v>67</v>
      </c>
      <c r="C357" s="34" t="s">
        <v>62</v>
      </c>
      <c r="D357" s="34" t="s">
        <v>77</v>
      </c>
      <c r="E357" s="37">
        <f t="shared" si="31"/>
        <v>36178.71</v>
      </c>
      <c r="F357" s="37">
        <f t="shared" si="32"/>
        <v>36178.710035700002</v>
      </c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</row>
    <row r="358" spans="1:19" x14ac:dyDescent="0.3">
      <c r="A358" s="34" t="s">
        <v>74</v>
      </c>
      <c r="B358" s="34" t="s">
        <v>67</v>
      </c>
      <c r="C358" s="34" t="s">
        <v>62</v>
      </c>
      <c r="D358" s="34" t="s">
        <v>63</v>
      </c>
      <c r="E358" s="37">
        <f t="shared" si="31"/>
        <v>41279.86</v>
      </c>
      <c r="F358" s="37">
        <f t="shared" si="32"/>
        <v>41279.860035800004</v>
      </c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</row>
    <row r="359" spans="1:19" x14ac:dyDescent="0.3">
      <c r="A359" s="34" t="s">
        <v>74</v>
      </c>
      <c r="B359" s="34" t="s">
        <v>67</v>
      </c>
      <c r="C359" s="34" t="s">
        <v>62</v>
      </c>
      <c r="D359" s="34" t="s">
        <v>66</v>
      </c>
      <c r="E359" s="37">
        <f t="shared" si="31"/>
        <v>133009.41</v>
      </c>
      <c r="F359" s="37">
        <f t="shared" si="32"/>
        <v>133009.41003590001</v>
      </c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</row>
    <row r="360" spans="1:19" x14ac:dyDescent="0.3">
      <c r="A360" s="34" t="s">
        <v>74</v>
      </c>
      <c r="B360" s="34" t="s">
        <v>67</v>
      </c>
      <c r="C360" s="34" t="s">
        <v>62</v>
      </c>
      <c r="D360" s="34" t="s">
        <v>69</v>
      </c>
      <c r="E360" s="37">
        <f t="shared" si="31"/>
        <v>45377.149999999994</v>
      </c>
      <c r="F360" s="37">
        <f t="shared" si="32"/>
        <v>45377.150035999992</v>
      </c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</row>
    <row r="361" spans="1:19" x14ac:dyDescent="0.3">
      <c r="A361" s="34" t="s">
        <v>74</v>
      </c>
      <c r="B361" s="34" t="s">
        <v>67</v>
      </c>
      <c r="C361" s="34" t="s">
        <v>68</v>
      </c>
      <c r="D361" s="34" t="s">
        <v>78</v>
      </c>
      <c r="E361" s="37">
        <f t="shared" si="31"/>
        <v>57609.259999999995</v>
      </c>
      <c r="F361" s="37">
        <f t="shared" si="32"/>
        <v>57609.260036099993</v>
      </c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</row>
    <row r="362" spans="1:19" x14ac:dyDescent="0.3">
      <c r="A362" s="34" t="s">
        <v>74</v>
      </c>
      <c r="B362" s="34" t="s">
        <v>67</v>
      </c>
      <c r="C362" s="34" t="s">
        <v>68</v>
      </c>
      <c r="D362" s="34" t="s">
        <v>73</v>
      </c>
      <c r="E362" s="37">
        <f t="shared" si="31"/>
        <v>48389.85</v>
      </c>
      <c r="F362" s="37">
        <f t="shared" si="32"/>
        <v>48389.850036199998</v>
      </c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</row>
    <row r="363" spans="1:19" x14ac:dyDescent="0.3">
      <c r="A363" s="34" t="s">
        <v>74</v>
      </c>
      <c r="B363" s="34" t="s">
        <v>67</v>
      </c>
      <c r="C363" s="34" t="s">
        <v>68</v>
      </c>
      <c r="D363" s="34" t="s">
        <v>72</v>
      </c>
      <c r="E363" s="37">
        <f t="shared" si="31"/>
        <v>96281.489999999991</v>
      </c>
      <c r="F363" s="37">
        <f t="shared" si="32"/>
        <v>96281.490036299991</v>
      </c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</row>
    <row r="364" spans="1:19" x14ac:dyDescent="0.3">
      <c r="A364" s="34" t="s">
        <v>74</v>
      </c>
      <c r="B364" s="34" t="s">
        <v>67</v>
      </c>
      <c r="C364" s="34" t="s">
        <v>68</v>
      </c>
      <c r="D364" s="34" t="s">
        <v>77</v>
      </c>
      <c r="E364" s="37">
        <f t="shared" si="31"/>
        <v>104565.94</v>
      </c>
      <c r="F364" s="37">
        <f t="shared" si="32"/>
        <v>104565.9400364</v>
      </c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</row>
    <row r="365" spans="1:19" x14ac:dyDescent="0.3">
      <c r="A365" s="34" t="s">
        <v>74</v>
      </c>
      <c r="B365" s="34" t="s">
        <v>67</v>
      </c>
      <c r="C365" s="34" t="s">
        <v>68</v>
      </c>
      <c r="D365" s="34" t="s">
        <v>63</v>
      </c>
      <c r="E365" s="37">
        <f t="shared" si="31"/>
        <v>7261.59</v>
      </c>
      <c r="F365" s="37">
        <f t="shared" si="32"/>
        <v>7261.5900364999998</v>
      </c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</row>
    <row r="366" spans="1:19" x14ac:dyDescent="0.3">
      <c r="A366" s="34" t="s">
        <v>74</v>
      </c>
      <c r="B366" s="34" t="s">
        <v>67</v>
      </c>
      <c r="C366" s="34" t="s">
        <v>68</v>
      </c>
      <c r="D366" s="34" t="s">
        <v>66</v>
      </c>
      <c r="E366" s="37">
        <f t="shared" si="31"/>
        <v>65715.38</v>
      </c>
      <c r="F366" s="37">
        <f t="shared" si="32"/>
        <v>65715.380036600007</v>
      </c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</row>
    <row r="367" spans="1:19" x14ac:dyDescent="0.3">
      <c r="A367" s="34" t="s">
        <v>74</v>
      </c>
      <c r="B367" s="34" t="s">
        <v>67</v>
      </c>
      <c r="C367" s="34" t="s">
        <v>68</v>
      </c>
      <c r="D367" s="34" t="s">
        <v>69</v>
      </c>
      <c r="E367" s="37">
        <f t="shared" si="31"/>
        <v>54414.709999999992</v>
      </c>
      <c r="F367" s="37">
        <f t="shared" si="32"/>
        <v>54414.710036699995</v>
      </c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</row>
    <row r="368" spans="1:19" x14ac:dyDescent="0.3">
      <c r="A368" s="34" t="s">
        <v>74</v>
      </c>
      <c r="B368" s="34" t="s">
        <v>67</v>
      </c>
      <c r="C368" s="34" t="s">
        <v>71</v>
      </c>
      <c r="D368" s="34" t="s">
        <v>78</v>
      </c>
      <c r="E368" s="37">
        <f t="shared" si="31"/>
        <v>136267.82</v>
      </c>
      <c r="F368" s="37">
        <f t="shared" si="32"/>
        <v>136267.8200368</v>
      </c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</row>
    <row r="369" spans="1:19" x14ac:dyDescent="0.3">
      <c r="A369" s="34" t="s">
        <v>74</v>
      </c>
      <c r="B369" s="34" t="s">
        <v>67</v>
      </c>
      <c r="C369" s="34" t="s">
        <v>71</v>
      </c>
      <c r="D369" s="34" t="s">
        <v>73</v>
      </c>
      <c r="E369" s="37">
        <f t="shared" si="31"/>
        <v>211387.81</v>
      </c>
      <c r="F369" s="37">
        <f t="shared" si="32"/>
        <v>211387.81003689999</v>
      </c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</row>
    <row r="370" spans="1:19" x14ac:dyDescent="0.3">
      <c r="A370" s="34" t="s">
        <v>74</v>
      </c>
      <c r="B370" s="34" t="s">
        <v>67</v>
      </c>
      <c r="C370" s="34" t="s">
        <v>71</v>
      </c>
      <c r="D370" s="34" t="s">
        <v>72</v>
      </c>
      <c r="E370" s="37">
        <f t="shared" si="31"/>
        <v>90854</v>
      </c>
      <c r="F370" s="37">
        <f t="shared" si="32"/>
        <v>90854.000037000005</v>
      </c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</row>
    <row r="371" spans="1:19" x14ac:dyDescent="0.3">
      <c r="A371" s="34" t="s">
        <v>74</v>
      </c>
      <c r="B371" s="34" t="s">
        <v>67</v>
      </c>
      <c r="C371" s="34" t="s">
        <v>71</v>
      </c>
      <c r="D371" s="34" t="s">
        <v>77</v>
      </c>
      <c r="E371" s="37">
        <f t="shared" si="31"/>
        <v>49457.69</v>
      </c>
      <c r="F371" s="37">
        <f t="shared" si="32"/>
        <v>49457.690037100001</v>
      </c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</row>
    <row r="372" spans="1:19" x14ac:dyDescent="0.3">
      <c r="A372" s="34" t="s">
        <v>74</v>
      </c>
      <c r="B372" s="34" t="s">
        <v>67</v>
      </c>
      <c r="C372" s="34" t="s">
        <v>71</v>
      </c>
      <c r="D372" s="34" t="s">
        <v>63</v>
      </c>
      <c r="E372" s="37">
        <f t="shared" si="31"/>
        <v>91238.33</v>
      </c>
      <c r="F372" s="37">
        <f t="shared" si="32"/>
        <v>91238.330037200009</v>
      </c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</row>
    <row r="373" spans="1:19" x14ac:dyDescent="0.3">
      <c r="A373" s="34" t="s">
        <v>74</v>
      </c>
      <c r="B373" s="34" t="s">
        <v>67</v>
      </c>
      <c r="C373" s="34" t="s">
        <v>71</v>
      </c>
      <c r="D373" s="34" t="s">
        <v>66</v>
      </c>
      <c r="E373" s="37">
        <f t="shared" si="31"/>
        <v>28037.58</v>
      </c>
      <c r="F373" s="37">
        <f t="shared" si="32"/>
        <v>28037.580037300002</v>
      </c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</row>
    <row r="374" spans="1:19" x14ac:dyDescent="0.3">
      <c r="A374" s="34" t="s">
        <v>74</v>
      </c>
      <c r="B374" s="34" t="s">
        <v>67</v>
      </c>
      <c r="C374" s="34" t="s">
        <v>71</v>
      </c>
      <c r="D374" s="34" t="s">
        <v>69</v>
      </c>
      <c r="E374" s="37">
        <f t="shared" si="31"/>
        <v>39344.58</v>
      </c>
      <c r="F374" s="37">
        <f t="shared" si="32"/>
        <v>39344.580037400003</v>
      </c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</row>
    <row r="375" spans="1:19" x14ac:dyDescent="0.3">
      <c r="A375" s="34" t="s">
        <v>64</v>
      </c>
      <c r="B375" s="34" t="s">
        <v>75</v>
      </c>
      <c r="C375" s="34" t="s">
        <v>76</v>
      </c>
      <c r="D375" s="34" t="s">
        <v>78</v>
      </c>
      <c r="E375" s="37">
        <f t="shared" si="31"/>
        <v>11467.08</v>
      </c>
      <c r="F375" s="37">
        <f t="shared" si="32"/>
        <v>11467.0800375</v>
      </c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</row>
    <row r="376" spans="1:19" x14ac:dyDescent="0.3">
      <c r="A376" s="34" t="s">
        <v>64</v>
      </c>
      <c r="B376" s="34" t="s">
        <v>75</v>
      </c>
      <c r="C376" s="34" t="s">
        <v>76</v>
      </c>
      <c r="D376" s="34" t="s">
        <v>73</v>
      </c>
      <c r="E376" s="37">
        <f t="shared" si="31"/>
        <v>418487.37</v>
      </c>
      <c r="F376" s="37">
        <f t="shared" si="32"/>
        <v>418487.37003759999</v>
      </c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</row>
    <row r="377" spans="1:19" x14ac:dyDescent="0.3">
      <c r="A377" s="34" t="s">
        <v>64</v>
      </c>
      <c r="B377" s="34" t="s">
        <v>75</v>
      </c>
      <c r="C377" s="34" t="s">
        <v>76</v>
      </c>
      <c r="D377" s="34" t="s">
        <v>72</v>
      </c>
      <c r="E377" s="37">
        <f t="shared" si="31"/>
        <v>79876.33</v>
      </c>
      <c r="F377" s="37">
        <f t="shared" si="32"/>
        <v>79876.330037699998</v>
      </c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</row>
    <row r="378" spans="1:19" x14ac:dyDescent="0.3">
      <c r="A378" s="34" t="s">
        <v>64</v>
      </c>
      <c r="B378" s="34" t="s">
        <v>75</v>
      </c>
      <c r="C378" s="34" t="s">
        <v>76</v>
      </c>
      <c r="D378" s="34" t="s">
        <v>77</v>
      </c>
      <c r="E378" s="37">
        <f t="shared" si="31"/>
        <v>206566.33000000002</v>
      </c>
      <c r="F378" s="37">
        <f t="shared" si="32"/>
        <v>206566.33003780001</v>
      </c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</row>
    <row r="379" spans="1:19" x14ac:dyDescent="0.3">
      <c r="A379" s="34" t="s">
        <v>64</v>
      </c>
      <c r="B379" s="34" t="s">
        <v>75</v>
      </c>
      <c r="C379" s="34" t="s">
        <v>76</v>
      </c>
      <c r="D379" s="34" t="s">
        <v>63</v>
      </c>
      <c r="E379" s="37">
        <f t="shared" si="31"/>
        <v>0</v>
      </c>
      <c r="F379" s="37">
        <f t="shared" si="32"/>
        <v>3.79E-5</v>
      </c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</row>
    <row r="380" spans="1:19" x14ac:dyDescent="0.3">
      <c r="A380" s="34" t="s">
        <v>64</v>
      </c>
      <c r="B380" s="34" t="s">
        <v>75</v>
      </c>
      <c r="C380" s="34" t="s">
        <v>76</v>
      </c>
      <c r="D380" s="34" t="s">
        <v>66</v>
      </c>
      <c r="E380" s="37">
        <f t="shared" si="31"/>
        <v>30312.31</v>
      </c>
      <c r="F380" s="37">
        <f t="shared" si="32"/>
        <v>30312.310038</v>
      </c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</row>
    <row r="381" spans="1:19" x14ac:dyDescent="0.3">
      <c r="A381" s="34" t="s">
        <v>64</v>
      </c>
      <c r="B381" s="34" t="s">
        <v>75</v>
      </c>
      <c r="C381" s="34" t="s">
        <v>76</v>
      </c>
      <c r="D381" s="34" t="s">
        <v>69</v>
      </c>
      <c r="E381" s="37">
        <f t="shared" si="31"/>
        <v>0</v>
      </c>
      <c r="F381" s="37">
        <f t="shared" si="32"/>
        <v>3.8099999999999998E-5</v>
      </c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</row>
    <row r="382" spans="1:19" x14ac:dyDescent="0.3">
      <c r="A382" s="34" t="s">
        <v>64</v>
      </c>
      <c r="B382" s="34" t="s">
        <v>75</v>
      </c>
      <c r="C382" s="34" t="s">
        <v>65</v>
      </c>
      <c r="D382" s="34" t="s">
        <v>78</v>
      </c>
      <c r="E382" s="37">
        <f t="shared" si="31"/>
        <v>122731.6</v>
      </c>
      <c r="F382" s="37">
        <f t="shared" si="32"/>
        <v>122731.60003820001</v>
      </c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</row>
    <row r="383" spans="1:19" x14ac:dyDescent="0.3">
      <c r="A383" s="34" t="s">
        <v>64</v>
      </c>
      <c r="B383" s="34" t="s">
        <v>75</v>
      </c>
      <c r="C383" s="34" t="s">
        <v>65</v>
      </c>
      <c r="D383" s="34" t="s">
        <v>73</v>
      </c>
      <c r="E383" s="37">
        <f t="shared" si="31"/>
        <v>29358.959999999999</v>
      </c>
      <c r="F383" s="37">
        <f t="shared" si="32"/>
        <v>29358.9600383</v>
      </c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</row>
    <row r="384" spans="1:19" x14ac:dyDescent="0.3">
      <c r="A384" s="34" t="s">
        <v>64</v>
      </c>
      <c r="B384" s="34" t="s">
        <v>75</v>
      </c>
      <c r="C384" s="34" t="s">
        <v>65</v>
      </c>
      <c r="D384" s="34" t="s">
        <v>72</v>
      </c>
      <c r="E384" s="37">
        <f t="shared" si="31"/>
        <v>172469.97</v>
      </c>
      <c r="F384" s="37">
        <f t="shared" si="32"/>
        <v>172469.9700384</v>
      </c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</row>
    <row r="385" spans="1:19" x14ac:dyDescent="0.3">
      <c r="A385" s="34" t="s">
        <v>64</v>
      </c>
      <c r="B385" s="34" t="s">
        <v>75</v>
      </c>
      <c r="C385" s="34" t="s">
        <v>65</v>
      </c>
      <c r="D385" s="34" t="s">
        <v>77</v>
      </c>
      <c r="E385" s="37">
        <f t="shared" si="31"/>
        <v>144059.45000000001</v>
      </c>
      <c r="F385" s="37">
        <f t="shared" si="32"/>
        <v>144059.45003850001</v>
      </c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</row>
    <row r="386" spans="1:19" x14ac:dyDescent="0.3">
      <c r="A386" s="34" t="s">
        <v>64</v>
      </c>
      <c r="B386" s="34" t="s">
        <v>75</v>
      </c>
      <c r="C386" s="34" t="s">
        <v>65</v>
      </c>
      <c r="D386" s="34" t="s">
        <v>63</v>
      </c>
      <c r="E386" s="37">
        <f t="shared" si="31"/>
        <v>0</v>
      </c>
      <c r="F386" s="37">
        <f t="shared" si="32"/>
        <v>3.8599999999999996E-5</v>
      </c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</row>
    <row r="387" spans="1:19" x14ac:dyDescent="0.3">
      <c r="A387" s="34" t="s">
        <v>64</v>
      </c>
      <c r="B387" s="34" t="s">
        <v>75</v>
      </c>
      <c r="C387" s="34" t="s">
        <v>65</v>
      </c>
      <c r="D387" s="34" t="s">
        <v>66</v>
      </c>
      <c r="E387" s="37">
        <f t="shared" si="31"/>
        <v>166679.28999999998</v>
      </c>
      <c r="F387" s="37">
        <f t="shared" si="32"/>
        <v>166679.29003869998</v>
      </c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</row>
    <row r="388" spans="1:19" x14ac:dyDescent="0.3">
      <c r="A388" s="34" t="s">
        <v>64</v>
      </c>
      <c r="B388" s="34" t="s">
        <v>75</v>
      </c>
      <c r="C388" s="34" t="s">
        <v>65</v>
      </c>
      <c r="D388" s="34" t="s">
        <v>69</v>
      </c>
      <c r="E388" s="37">
        <f t="shared" si="31"/>
        <v>63311.12</v>
      </c>
      <c r="F388" s="37">
        <f t="shared" si="32"/>
        <v>63311.1200388</v>
      </c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</row>
    <row r="389" spans="1:19" x14ac:dyDescent="0.3">
      <c r="A389" s="34" t="s">
        <v>64</v>
      </c>
      <c r="B389" s="34" t="s">
        <v>75</v>
      </c>
      <c r="C389" s="34" t="s">
        <v>62</v>
      </c>
      <c r="D389" s="34" t="s">
        <v>78</v>
      </c>
      <c r="E389" s="37">
        <f t="shared" si="31"/>
        <v>136025.88999999998</v>
      </c>
      <c r="F389" s="37">
        <f t="shared" si="32"/>
        <v>136025.89003889999</v>
      </c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</row>
    <row r="390" spans="1:19" x14ac:dyDescent="0.3">
      <c r="A390" s="34" t="s">
        <v>64</v>
      </c>
      <c r="B390" s="34" t="s">
        <v>75</v>
      </c>
      <c r="C390" s="34" t="s">
        <v>62</v>
      </c>
      <c r="D390" s="34" t="s">
        <v>73</v>
      </c>
      <c r="E390" s="37">
        <f t="shared" si="31"/>
        <v>153945.45000000001</v>
      </c>
      <c r="F390" s="37">
        <f t="shared" si="32"/>
        <v>153945.45003900002</v>
      </c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</row>
    <row r="391" spans="1:19" x14ac:dyDescent="0.3">
      <c r="A391" s="34" t="s">
        <v>64</v>
      </c>
      <c r="B391" s="34" t="s">
        <v>75</v>
      </c>
      <c r="C391" s="34" t="s">
        <v>62</v>
      </c>
      <c r="D391" s="34" t="s">
        <v>72</v>
      </c>
      <c r="E391" s="37">
        <f t="shared" si="31"/>
        <v>76450.78</v>
      </c>
      <c r="F391" s="37">
        <f t="shared" si="32"/>
        <v>76450.780039100006</v>
      </c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</row>
    <row r="392" spans="1:19" x14ac:dyDescent="0.3">
      <c r="A392" s="34" t="s">
        <v>64</v>
      </c>
      <c r="B392" s="34" t="s">
        <v>75</v>
      </c>
      <c r="C392" s="34" t="s">
        <v>62</v>
      </c>
      <c r="D392" s="34" t="s">
        <v>77</v>
      </c>
      <c r="E392" s="37">
        <f t="shared" si="31"/>
        <v>39323.9</v>
      </c>
      <c r="F392" s="37">
        <f t="shared" si="32"/>
        <v>39323.900039200002</v>
      </c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</row>
    <row r="393" spans="1:19" x14ac:dyDescent="0.3">
      <c r="A393" s="34" t="s">
        <v>64</v>
      </c>
      <c r="B393" s="34" t="s">
        <v>75</v>
      </c>
      <c r="C393" s="34" t="s">
        <v>62</v>
      </c>
      <c r="D393" s="34" t="s">
        <v>63</v>
      </c>
      <c r="E393" s="37">
        <f t="shared" si="31"/>
        <v>79933.37</v>
      </c>
      <c r="F393" s="37">
        <f t="shared" si="32"/>
        <v>79933.370039299989</v>
      </c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</row>
    <row r="394" spans="1:19" x14ac:dyDescent="0.3">
      <c r="A394" s="34" t="s">
        <v>64</v>
      </c>
      <c r="B394" s="34" t="s">
        <v>75</v>
      </c>
      <c r="C394" s="34" t="s">
        <v>62</v>
      </c>
      <c r="D394" s="34" t="s">
        <v>66</v>
      </c>
      <c r="E394" s="37">
        <f t="shared" si="31"/>
        <v>54762.619999999995</v>
      </c>
      <c r="F394" s="37">
        <f t="shared" si="32"/>
        <v>54762.620039399997</v>
      </c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</row>
    <row r="395" spans="1:19" x14ac:dyDescent="0.3">
      <c r="A395" s="34" t="s">
        <v>64</v>
      </c>
      <c r="B395" s="34" t="s">
        <v>75</v>
      </c>
      <c r="C395" s="34" t="s">
        <v>62</v>
      </c>
      <c r="D395" s="34" t="s">
        <v>69</v>
      </c>
      <c r="E395" s="37">
        <f t="shared" si="31"/>
        <v>70080.63</v>
      </c>
      <c r="F395" s="37">
        <f t="shared" si="32"/>
        <v>70080.6300395</v>
      </c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</row>
    <row r="396" spans="1:19" x14ac:dyDescent="0.3">
      <c r="A396" s="34" t="s">
        <v>64</v>
      </c>
      <c r="B396" s="34" t="s">
        <v>75</v>
      </c>
      <c r="C396" s="34" t="s">
        <v>68</v>
      </c>
      <c r="D396" s="34" t="s">
        <v>78</v>
      </c>
      <c r="E396" s="37">
        <f t="shared" si="31"/>
        <v>260170.35000000003</v>
      </c>
      <c r="F396" s="37">
        <f t="shared" si="32"/>
        <v>260170.35003960005</v>
      </c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</row>
    <row r="397" spans="1:19" x14ac:dyDescent="0.3">
      <c r="A397" s="34" t="s">
        <v>64</v>
      </c>
      <c r="B397" s="34" t="s">
        <v>75</v>
      </c>
      <c r="C397" s="34" t="s">
        <v>68</v>
      </c>
      <c r="D397" s="34" t="s">
        <v>73</v>
      </c>
      <c r="E397" s="37">
        <f t="shared" si="31"/>
        <v>121852.62999999999</v>
      </c>
      <c r="F397" s="37">
        <f t="shared" si="32"/>
        <v>121852.63003969999</v>
      </c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</row>
    <row r="398" spans="1:19" x14ac:dyDescent="0.3">
      <c r="A398" s="34" t="s">
        <v>64</v>
      </c>
      <c r="B398" s="34" t="s">
        <v>75</v>
      </c>
      <c r="C398" s="34" t="s">
        <v>68</v>
      </c>
      <c r="D398" s="34" t="s">
        <v>72</v>
      </c>
      <c r="E398" s="37">
        <f t="shared" si="31"/>
        <v>0</v>
      </c>
      <c r="F398" s="37">
        <f t="shared" si="32"/>
        <v>3.9799999999999998E-5</v>
      </c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</row>
    <row r="399" spans="1:19" x14ac:dyDescent="0.3">
      <c r="A399" s="34" t="s">
        <v>64</v>
      </c>
      <c r="B399" s="34" t="s">
        <v>75</v>
      </c>
      <c r="C399" s="34" t="s">
        <v>68</v>
      </c>
      <c r="D399" s="34" t="s">
        <v>77</v>
      </c>
      <c r="E399" s="37">
        <f t="shared" si="31"/>
        <v>125238.39999999999</v>
      </c>
      <c r="F399" s="37">
        <f t="shared" si="32"/>
        <v>125238.40003989999</v>
      </c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</row>
    <row r="400" spans="1:19" x14ac:dyDescent="0.3">
      <c r="A400" s="34" t="s">
        <v>64</v>
      </c>
      <c r="B400" s="34" t="s">
        <v>75</v>
      </c>
      <c r="C400" s="34" t="s">
        <v>68</v>
      </c>
      <c r="D400" s="34" t="s">
        <v>63</v>
      </c>
      <c r="E400" s="37">
        <f t="shared" si="31"/>
        <v>54101.599999999991</v>
      </c>
      <c r="F400" s="37">
        <f t="shared" si="32"/>
        <v>54101.60003999999</v>
      </c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</row>
    <row r="401" spans="1:19" x14ac:dyDescent="0.3">
      <c r="A401" s="34" t="s">
        <v>64</v>
      </c>
      <c r="B401" s="34" t="s">
        <v>75</v>
      </c>
      <c r="C401" s="34" t="s">
        <v>68</v>
      </c>
      <c r="D401" s="34" t="s">
        <v>66</v>
      </c>
      <c r="E401" s="37">
        <f t="shared" si="31"/>
        <v>490495.75</v>
      </c>
      <c r="F401" s="37">
        <f t="shared" si="32"/>
        <v>490495.75004010001</v>
      </c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</row>
    <row r="402" spans="1:19" x14ac:dyDescent="0.3">
      <c r="A402" s="34" t="s">
        <v>64</v>
      </c>
      <c r="B402" s="34" t="s">
        <v>75</v>
      </c>
      <c r="C402" s="34" t="s">
        <v>68</v>
      </c>
      <c r="D402" s="34" t="s">
        <v>69</v>
      </c>
      <c r="E402" s="37">
        <f t="shared" si="31"/>
        <v>319638.81</v>
      </c>
      <c r="F402" s="37">
        <f t="shared" si="32"/>
        <v>319638.81004020001</v>
      </c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</row>
    <row r="403" spans="1:19" x14ac:dyDescent="0.3">
      <c r="A403" s="34" t="s">
        <v>64</v>
      </c>
      <c r="B403" s="34" t="s">
        <v>75</v>
      </c>
      <c r="C403" s="34" t="s">
        <v>71</v>
      </c>
      <c r="D403" s="34" t="s">
        <v>78</v>
      </c>
      <c r="E403" s="37">
        <f t="shared" si="31"/>
        <v>93636.85</v>
      </c>
      <c r="F403" s="37">
        <f t="shared" si="32"/>
        <v>93636.850040300007</v>
      </c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</row>
    <row r="404" spans="1:19" x14ac:dyDescent="0.3">
      <c r="A404" s="34" t="s">
        <v>64</v>
      </c>
      <c r="B404" s="34" t="s">
        <v>75</v>
      </c>
      <c r="C404" s="34" t="s">
        <v>71</v>
      </c>
      <c r="D404" s="34" t="s">
        <v>73</v>
      </c>
      <c r="E404" s="37">
        <f t="shared" si="31"/>
        <v>129832.94</v>
      </c>
      <c r="F404" s="37">
        <f t="shared" si="32"/>
        <v>129832.9400404</v>
      </c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</row>
    <row r="405" spans="1:19" x14ac:dyDescent="0.3">
      <c r="A405" s="34" t="s">
        <v>64</v>
      </c>
      <c r="B405" s="34" t="s">
        <v>75</v>
      </c>
      <c r="C405" s="34" t="s">
        <v>71</v>
      </c>
      <c r="D405" s="34" t="s">
        <v>72</v>
      </c>
      <c r="E405" s="37">
        <f t="shared" si="31"/>
        <v>285655.48</v>
      </c>
      <c r="F405" s="37">
        <f t="shared" si="32"/>
        <v>285655.4800405</v>
      </c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</row>
    <row r="406" spans="1:19" x14ac:dyDescent="0.3">
      <c r="A406" s="34" t="s">
        <v>64</v>
      </c>
      <c r="B406" s="34" t="s">
        <v>75</v>
      </c>
      <c r="C406" s="34" t="s">
        <v>71</v>
      </c>
      <c r="D406" s="34" t="s">
        <v>77</v>
      </c>
      <c r="E406" s="37">
        <f t="shared" si="31"/>
        <v>51559.64</v>
      </c>
      <c r="F406" s="37">
        <f t="shared" si="32"/>
        <v>51559.640040600003</v>
      </c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</row>
    <row r="407" spans="1:19" x14ac:dyDescent="0.3">
      <c r="A407" s="34" t="s">
        <v>64</v>
      </c>
      <c r="B407" s="34" t="s">
        <v>75</v>
      </c>
      <c r="C407" s="34" t="s">
        <v>71</v>
      </c>
      <c r="D407" s="34" t="s">
        <v>63</v>
      </c>
      <c r="E407" s="37">
        <f t="shared" si="31"/>
        <v>339980.22000000003</v>
      </c>
      <c r="F407" s="37">
        <f t="shared" si="32"/>
        <v>339980.22004070005</v>
      </c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</row>
    <row r="408" spans="1:19" x14ac:dyDescent="0.3">
      <c r="A408" s="34" t="s">
        <v>64</v>
      </c>
      <c r="B408" s="34" t="s">
        <v>75</v>
      </c>
      <c r="C408" s="34" t="s">
        <v>71</v>
      </c>
      <c r="D408" s="34" t="s">
        <v>66</v>
      </c>
      <c r="E408" s="37">
        <f t="shared" si="31"/>
        <v>321334.19999999995</v>
      </c>
      <c r="F408" s="37">
        <f t="shared" si="32"/>
        <v>321334.20004079997</v>
      </c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</row>
    <row r="409" spans="1:19" x14ac:dyDescent="0.3">
      <c r="A409" s="34" t="s">
        <v>64</v>
      </c>
      <c r="B409" s="34" t="s">
        <v>75</v>
      </c>
      <c r="C409" s="34" t="s">
        <v>71</v>
      </c>
      <c r="D409" s="34" t="s">
        <v>69</v>
      </c>
      <c r="E409" s="37">
        <f t="shared" si="31"/>
        <v>285729.41000000003</v>
      </c>
      <c r="F409" s="37">
        <f t="shared" si="32"/>
        <v>285729.41004090005</v>
      </c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</row>
    <row r="410" spans="1:19" x14ac:dyDescent="0.3">
      <c r="A410" s="34" t="s">
        <v>64</v>
      </c>
      <c r="B410" s="34" t="s">
        <v>61</v>
      </c>
      <c r="C410" s="34" t="s">
        <v>76</v>
      </c>
      <c r="D410" s="34" t="s">
        <v>78</v>
      </c>
      <c r="E410" s="37">
        <f t="shared" si="31"/>
        <v>420731.1</v>
      </c>
      <c r="F410" s="37">
        <f t="shared" si="32"/>
        <v>420731.100041</v>
      </c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</row>
    <row r="411" spans="1:19" x14ac:dyDescent="0.3">
      <c r="A411" s="34" t="s">
        <v>64</v>
      </c>
      <c r="B411" s="34" t="s">
        <v>61</v>
      </c>
      <c r="C411" s="34" t="s">
        <v>76</v>
      </c>
      <c r="D411" s="34" t="s">
        <v>73</v>
      </c>
      <c r="E411" s="37">
        <f t="shared" si="31"/>
        <v>447198.87</v>
      </c>
      <c r="F411" s="37">
        <f t="shared" si="32"/>
        <v>447198.87004110002</v>
      </c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</row>
    <row r="412" spans="1:19" x14ac:dyDescent="0.3">
      <c r="A412" s="34" t="s">
        <v>64</v>
      </c>
      <c r="B412" s="34" t="s">
        <v>61</v>
      </c>
      <c r="C412" s="34" t="s">
        <v>76</v>
      </c>
      <c r="D412" s="34" t="s">
        <v>72</v>
      </c>
      <c r="E412" s="37">
        <f t="shared" si="31"/>
        <v>170090.06999999998</v>
      </c>
      <c r="F412" s="37">
        <f t="shared" si="32"/>
        <v>170090.07004119997</v>
      </c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</row>
    <row r="413" spans="1:19" x14ac:dyDescent="0.3">
      <c r="A413" s="34" t="s">
        <v>64</v>
      </c>
      <c r="B413" s="34" t="s">
        <v>61</v>
      </c>
      <c r="C413" s="34" t="s">
        <v>76</v>
      </c>
      <c r="D413" s="34" t="s">
        <v>77</v>
      </c>
      <c r="E413" s="37">
        <f t="shared" si="31"/>
        <v>283962.93999999994</v>
      </c>
      <c r="F413" s="37">
        <f t="shared" si="32"/>
        <v>283962.94004129997</v>
      </c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</row>
    <row r="414" spans="1:19" x14ac:dyDescent="0.3">
      <c r="A414" s="34" t="s">
        <v>64</v>
      </c>
      <c r="B414" s="34" t="s">
        <v>61</v>
      </c>
      <c r="C414" s="34" t="s">
        <v>76</v>
      </c>
      <c r="D414" s="34" t="s">
        <v>63</v>
      </c>
      <c r="E414" s="37">
        <f t="shared" si="31"/>
        <v>13520.75</v>
      </c>
      <c r="F414" s="37">
        <f t="shared" si="32"/>
        <v>13520.750041400001</v>
      </c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</row>
    <row r="415" spans="1:19" x14ac:dyDescent="0.3">
      <c r="A415" s="34" t="s">
        <v>64</v>
      </c>
      <c r="B415" s="34" t="s">
        <v>61</v>
      </c>
      <c r="C415" s="34" t="s">
        <v>76</v>
      </c>
      <c r="D415" s="34" t="s">
        <v>66</v>
      </c>
      <c r="E415" s="37">
        <f t="shared" ref="E415:E478" si="33">SUMIFS(d_rev,d_date,"&gt;="&amp;$B$9,d_date,"&lt;="&amp;$B$10,d_plat,$C$4,d_type,$C$7,d_ind,$C$5,d_ctry,$C$6,d_plat,$A415,d_type,$B415,d_ind,$C415,d_ctry,$D415)</f>
        <v>119688.54000000001</v>
      </c>
      <c r="F415" s="37">
        <f t="shared" ref="F415:F478" si="34">E415+ROW()*0.0000001</f>
        <v>119688.5400415</v>
      </c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</row>
    <row r="416" spans="1:19" x14ac:dyDescent="0.3">
      <c r="A416" s="34" t="s">
        <v>64</v>
      </c>
      <c r="B416" s="34" t="s">
        <v>61</v>
      </c>
      <c r="C416" s="34" t="s">
        <v>76</v>
      </c>
      <c r="D416" s="34" t="s">
        <v>69</v>
      </c>
      <c r="E416" s="37">
        <f t="shared" si="33"/>
        <v>34386.07</v>
      </c>
      <c r="F416" s="37">
        <f t="shared" si="34"/>
        <v>34386.070041599996</v>
      </c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</row>
    <row r="417" spans="1:19" x14ac:dyDescent="0.3">
      <c r="A417" s="34" t="s">
        <v>64</v>
      </c>
      <c r="B417" s="34" t="s">
        <v>61</v>
      </c>
      <c r="C417" s="34" t="s">
        <v>65</v>
      </c>
      <c r="D417" s="34" t="s">
        <v>78</v>
      </c>
      <c r="E417" s="37">
        <f t="shared" si="33"/>
        <v>284973.92</v>
      </c>
      <c r="F417" s="37">
        <f t="shared" si="34"/>
        <v>284973.92004170001</v>
      </c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</row>
    <row r="418" spans="1:19" x14ac:dyDescent="0.3">
      <c r="A418" s="34" t="s">
        <v>64</v>
      </c>
      <c r="B418" s="34" t="s">
        <v>61</v>
      </c>
      <c r="C418" s="34" t="s">
        <v>65</v>
      </c>
      <c r="D418" s="34" t="s">
        <v>73</v>
      </c>
      <c r="E418" s="37">
        <f t="shared" si="33"/>
        <v>145473.93</v>
      </c>
      <c r="F418" s="37">
        <f t="shared" si="34"/>
        <v>145473.93004179999</v>
      </c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</row>
    <row r="419" spans="1:19" x14ac:dyDescent="0.3">
      <c r="A419" s="34" t="s">
        <v>64</v>
      </c>
      <c r="B419" s="34" t="s">
        <v>61</v>
      </c>
      <c r="C419" s="34" t="s">
        <v>65</v>
      </c>
      <c r="D419" s="34" t="s">
        <v>72</v>
      </c>
      <c r="E419" s="37">
        <f t="shared" si="33"/>
        <v>259623</v>
      </c>
      <c r="F419" s="37">
        <f t="shared" si="34"/>
        <v>259623.0000419</v>
      </c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</row>
    <row r="420" spans="1:19" x14ac:dyDescent="0.3">
      <c r="A420" s="34" t="s">
        <v>64</v>
      </c>
      <c r="B420" s="34" t="s">
        <v>61</v>
      </c>
      <c r="C420" s="34" t="s">
        <v>65</v>
      </c>
      <c r="D420" s="34" t="s">
        <v>77</v>
      </c>
      <c r="E420" s="37">
        <f t="shared" si="33"/>
        <v>428403.47</v>
      </c>
      <c r="F420" s="37">
        <f t="shared" si="34"/>
        <v>428403.470042</v>
      </c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</row>
    <row r="421" spans="1:19" x14ac:dyDescent="0.3">
      <c r="A421" s="34" t="s">
        <v>64</v>
      </c>
      <c r="B421" s="34" t="s">
        <v>61</v>
      </c>
      <c r="C421" s="34" t="s">
        <v>65</v>
      </c>
      <c r="D421" s="34" t="s">
        <v>63</v>
      </c>
      <c r="E421" s="37">
        <f t="shared" si="33"/>
        <v>262895.46000000002</v>
      </c>
      <c r="F421" s="37">
        <f t="shared" si="34"/>
        <v>262895.46004209999</v>
      </c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</row>
    <row r="422" spans="1:19" x14ac:dyDescent="0.3">
      <c r="A422" s="34" t="s">
        <v>64</v>
      </c>
      <c r="B422" s="34" t="s">
        <v>61</v>
      </c>
      <c r="C422" s="34" t="s">
        <v>65</v>
      </c>
      <c r="D422" s="34" t="s">
        <v>66</v>
      </c>
      <c r="E422" s="37">
        <f t="shared" si="33"/>
        <v>74073.25</v>
      </c>
      <c r="F422" s="37">
        <f t="shared" si="34"/>
        <v>74073.250042200001</v>
      </c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</row>
    <row r="423" spans="1:19" x14ac:dyDescent="0.3">
      <c r="A423" s="34" t="s">
        <v>64</v>
      </c>
      <c r="B423" s="34" t="s">
        <v>61</v>
      </c>
      <c r="C423" s="34" t="s">
        <v>65</v>
      </c>
      <c r="D423" s="34" t="s">
        <v>69</v>
      </c>
      <c r="E423" s="37">
        <f t="shared" si="33"/>
        <v>139623.22</v>
      </c>
      <c r="F423" s="37">
        <f t="shared" si="34"/>
        <v>139623.2200423</v>
      </c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</row>
    <row r="424" spans="1:19" x14ac:dyDescent="0.3">
      <c r="A424" s="34" t="s">
        <v>64</v>
      </c>
      <c r="B424" s="34" t="s">
        <v>61</v>
      </c>
      <c r="C424" s="34" t="s">
        <v>62</v>
      </c>
      <c r="D424" s="34" t="s">
        <v>78</v>
      </c>
      <c r="E424" s="37">
        <f t="shared" si="33"/>
        <v>31918.959999999999</v>
      </c>
      <c r="F424" s="37">
        <f t="shared" si="34"/>
        <v>31918.960042399998</v>
      </c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</row>
    <row r="425" spans="1:19" x14ac:dyDescent="0.3">
      <c r="A425" s="34" t="s">
        <v>64</v>
      </c>
      <c r="B425" s="34" t="s">
        <v>61</v>
      </c>
      <c r="C425" s="34" t="s">
        <v>62</v>
      </c>
      <c r="D425" s="34" t="s">
        <v>73</v>
      </c>
      <c r="E425" s="37">
        <f t="shared" si="33"/>
        <v>50605.59</v>
      </c>
      <c r="F425" s="37">
        <f t="shared" si="34"/>
        <v>50605.5900425</v>
      </c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</row>
    <row r="426" spans="1:19" x14ac:dyDescent="0.3">
      <c r="A426" s="34" t="s">
        <v>64</v>
      </c>
      <c r="B426" s="34" t="s">
        <v>61</v>
      </c>
      <c r="C426" s="34" t="s">
        <v>62</v>
      </c>
      <c r="D426" s="34" t="s">
        <v>72</v>
      </c>
      <c r="E426" s="37">
        <f t="shared" si="33"/>
        <v>166855.96</v>
      </c>
      <c r="F426" s="37">
        <f t="shared" si="34"/>
        <v>166855.9600426</v>
      </c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</row>
    <row r="427" spans="1:19" x14ac:dyDescent="0.3">
      <c r="A427" s="34" t="s">
        <v>64</v>
      </c>
      <c r="B427" s="34" t="s">
        <v>61</v>
      </c>
      <c r="C427" s="34" t="s">
        <v>62</v>
      </c>
      <c r="D427" s="34" t="s">
        <v>77</v>
      </c>
      <c r="E427" s="37">
        <f t="shared" si="33"/>
        <v>46791.4</v>
      </c>
      <c r="F427" s="37">
        <f t="shared" si="34"/>
        <v>46791.400042699999</v>
      </c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</row>
    <row r="428" spans="1:19" x14ac:dyDescent="0.3">
      <c r="A428" s="34" t="s">
        <v>64</v>
      </c>
      <c r="B428" s="34" t="s">
        <v>61</v>
      </c>
      <c r="C428" s="34" t="s">
        <v>62</v>
      </c>
      <c r="D428" s="34" t="s">
        <v>63</v>
      </c>
      <c r="E428" s="37">
        <f t="shared" si="33"/>
        <v>95812.640000000014</v>
      </c>
      <c r="F428" s="37">
        <f t="shared" si="34"/>
        <v>95812.64004280002</v>
      </c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</row>
    <row r="429" spans="1:19" x14ac:dyDescent="0.3">
      <c r="A429" s="34" t="s">
        <v>64</v>
      </c>
      <c r="B429" s="34" t="s">
        <v>61</v>
      </c>
      <c r="C429" s="34" t="s">
        <v>62</v>
      </c>
      <c r="D429" s="34" t="s">
        <v>66</v>
      </c>
      <c r="E429" s="37">
        <f t="shared" si="33"/>
        <v>169516.54</v>
      </c>
      <c r="F429" s="37">
        <f t="shared" si="34"/>
        <v>169516.54004290001</v>
      </c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</row>
    <row r="430" spans="1:19" x14ac:dyDescent="0.3">
      <c r="A430" s="34" t="s">
        <v>64</v>
      </c>
      <c r="B430" s="34" t="s">
        <v>61</v>
      </c>
      <c r="C430" s="34" t="s">
        <v>62</v>
      </c>
      <c r="D430" s="34" t="s">
        <v>69</v>
      </c>
      <c r="E430" s="37">
        <f t="shared" si="33"/>
        <v>0</v>
      </c>
      <c r="F430" s="37">
        <f t="shared" si="34"/>
        <v>4.2999999999999995E-5</v>
      </c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</row>
    <row r="431" spans="1:19" x14ac:dyDescent="0.3">
      <c r="A431" s="34" t="s">
        <v>64</v>
      </c>
      <c r="B431" s="34" t="s">
        <v>61</v>
      </c>
      <c r="C431" s="34" t="s">
        <v>68</v>
      </c>
      <c r="D431" s="34" t="s">
        <v>78</v>
      </c>
      <c r="E431" s="37">
        <f t="shared" si="33"/>
        <v>253895.44</v>
      </c>
      <c r="F431" s="37">
        <f t="shared" si="34"/>
        <v>253895.44004310001</v>
      </c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</row>
    <row r="432" spans="1:19" x14ac:dyDescent="0.3">
      <c r="A432" s="34" t="s">
        <v>64</v>
      </c>
      <c r="B432" s="34" t="s">
        <v>61</v>
      </c>
      <c r="C432" s="34" t="s">
        <v>68</v>
      </c>
      <c r="D432" s="34" t="s">
        <v>73</v>
      </c>
      <c r="E432" s="37">
        <f t="shared" si="33"/>
        <v>301630.46999999997</v>
      </c>
      <c r="F432" s="37">
        <f t="shared" si="34"/>
        <v>301630.47004319995</v>
      </c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</row>
    <row r="433" spans="1:19" x14ac:dyDescent="0.3">
      <c r="A433" s="34" t="s">
        <v>64</v>
      </c>
      <c r="B433" s="34" t="s">
        <v>61</v>
      </c>
      <c r="C433" s="34" t="s">
        <v>68</v>
      </c>
      <c r="D433" s="34" t="s">
        <v>72</v>
      </c>
      <c r="E433" s="37">
        <f t="shared" si="33"/>
        <v>120333.73</v>
      </c>
      <c r="F433" s="37">
        <f t="shared" si="34"/>
        <v>120333.73004329999</v>
      </c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</row>
    <row r="434" spans="1:19" x14ac:dyDescent="0.3">
      <c r="A434" s="34" t="s">
        <v>64</v>
      </c>
      <c r="B434" s="34" t="s">
        <v>61</v>
      </c>
      <c r="C434" s="34" t="s">
        <v>68</v>
      </c>
      <c r="D434" s="34" t="s">
        <v>77</v>
      </c>
      <c r="E434" s="37">
        <f t="shared" si="33"/>
        <v>104440.40000000001</v>
      </c>
      <c r="F434" s="37">
        <f t="shared" si="34"/>
        <v>104440.4000434</v>
      </c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</row>
    <row r="435" spans="1:19" x14ac:dyDescent="0.3">
      <c r="A435" s="34" t="s">
        <v>64</v>
      </c>
      <c r="B435" s="34" t="s">
        <v>61</v>
      </c>
      <c r="C435" s="34" t="s">
        <v>68</v>
      </c>
      <c r="D435" s="34" t="s">
        <v>63</v>
      </c>
      <c r="E435" s="37">
        <f t="shared" si="33"/>
        <v>38776.78</v>
      </c>
      <c r="F435" s="37">
        <f t="shared" si="34"/>
        <v>38776.780043499995</v>
      </c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</row>
    <row r="436" spans="1:19" x14ac:dyDescent="0.3">
      <c r="A436" s="34" t="s">
        <v>64</v>
      </c>
      <c r="B436" s="34" t="s">
        <v>61</v>
      </c>
      <c r="C436" s="34" t="s">
        <v>68</v>
      </c>
      <c r="D436" s="34" t="s">
        <v>66</v>
      </c>
      <c r="E436" s="37">
        <f t="shared" si="33"/>
        <v>47046.29</v>
      </c>
      <c r="F436" s="37">
        <f t="shared" si="34"/>
        <v>47046.290043599998</v>
      </c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</row>
    <row r="437" spans="1:19" x14ac:dyDescent="0.3">
      <c r="A437" s="34" t="s">
        <v>64</v>
      </c>
      <c r="B437" s="34" t="s">
        <v>61</v>
      </c>
      <c r="C437" s="34" t="s">
        <v>68</v>
      </c>
      <c r="D437" s="34" t="s">
        <v>69</v>
      </c>
      <c r="E437" s="37">
        <f t="shared" si="33"/>
        <v>64338.729999999996</v>
      </c>
      <c r="F437" s="37">
        <f t="shared" si="34"/>
        <v>64338.730043699994</v>
      </c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</row>
    <row r="438" spans="1:19" x14ac:dyDescent="0.3">
      <c r="A438" s="34" t="s">
        <v>64</v>
      </c>
      <c r="B438" s="34" t="s">
        <v>61</v>
      </c>
      <c r="C438" s="34" t="s">
        <v>71</v>
      </c>
      <c r="D438" s="34" t="s">
        <v>78</v>
      </c>
      <c r="E438" s="37">
        <f t="shared" si="33"/>
        <v>228511.11</v>
      </c>
      <c r="F438" s="37">
        <f t="shared" si="34"/>
        <v>228511.1100438</v>
      </c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</row>
    <row r="439" spans="1:19" x14ac:dyDescent="0.3">
      <c r="A439" s="34" t="s">
        <v>64</v>
      </c>
      <c r="B439" s="34" t="s">
        <v>61</v>
      </c>
      <c r="C439" s="34" t="s">
        <v>71</v>
      </c>
      <c r="D439" s="34" t="s">
        <v>73</v>
      </c>
      <c r="E439" s="37">
        <f t="shared" si="33"/>
        <v>145727.47999999998</v>
      </c>
      <c r="F439" s="37">
        <f t="shared" si="34"/>
        <v>145727.4800439</v>
      </c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</row>
    <row r="440" spans="1:19" x14ac:dyDescent="0.3">
      <c r="A440" s="34" t="s">
        <v>64</v>
      </c>
      <c r="B440" s="34" t="s">
        <v>61</v>
      </c>
      <c r="C440" s="34" t="s">
        <v>71</v>
      </c>
      <c r="D440" s="34" t="s">
        <v>72</v>
      </c>
      <c r="E440" s="37">
        <f t="shared" si="33"/>
        <v>91409.900000000009</v>
      </c>
      <c r="F440" s="37">
        <f t="shared" si="34"/>
        <v>91409.900044000009</v>
      </c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</row>
    <row r="441" spans="1:19" x14ac:dyDescent="0.3">
      <c r="A441" s="34" t="s">
        <v>64</v>
      </c>
      <c r="B441" s="34" t="s">
        <v>61</v>
      </c>
      <c r="C441" s="34" t="s">
        <v>71</v>
      </c>
      <c r="D441" s="34" t="s">
        <v>77</v>
      </c>
      <c r="E441" s="37">
        <f t="shared" si="33"/>
        <v>133873.57999999999</v>
      </c>
      <c r="F441" s="37">
        <f t="shared" si="34"/>
        <v>133873.58004409997</v>
      </c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</row>
    <row r="442" spans="1:19" x14ac:dyDescent="0.3">
      <c r="A442" s="34" t="s">
        <v>64</v>
      </c>
      <c r="B442" s="34" t="s">
        <v>61</v>
      </c>
      <c r="C442" s="34" t="s">
        <v>71</v>
      </c>
      <c r="D442" s="34" t="s">
        <v>63</v>
      </c>
      <c r="E442" s="37">
        <f t="shared" si="33"/>
        <v>245920.23</v>
      </c>
      <c r="F442" s="37">
        <f t="shared" si="34"/>
        <v>245920.2300442</v>
      </c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</row>
    <row r="443" spans="1:19" x14ac:dyDescent="0.3">
      <c r="A443" s="34" t="s">
        <v>64</v>
      </c>
      <c r="B443" s="34" t="s">
        <v>61</v>
      </c>
      <c r="C443" s="34" t="s">
        <v>71</v>
      </c>
      <c r="D443" s="34" t="s">
        <v>66</v>
      </c>
      <c r="E443" s="37">
        <f t="shared" si="33"/>
        <v>317754.98</v>
      </c>
      <c r="F443" s="37">
        <f t="shared" si="34"/>
        <v>317754.98004429997</v>
      </c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</row>
    <row r="444" spans="1:19" x14ac:dyDescent="0.3">
      <c r="A444" s="34" t="s">
        <v>64</v>
      </c>
      <c r="B444" s="34" t="s">
        <v>61</v>
      </c>
      <c r="C444" s="34" t="s">
        <v>71</v>
      </c>
      <c r="D444" s="34" t="s">
        <v>69</v>
      </c>
      <c r="E444" s="37">
        <f t="shared" si="33"/>
        <v>85005.36</v>
      </c>
      <c r="F444" s="37">
        <f t="shared" si="34"/>
        <v>85005.360044400004</v>
      </c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</row>
    <row r="445" spans="1:19" x14ac:dyDescent="0.3">
      <c r="A445" s="34" t="s">
        <v>64</v>
      </c>
      <c r="B445" s="34" t="s">
        <v>70</v>
      </c>
      <c r="C445" s="34" t="s">
        <v>76</v>
      </c>
      <c r="D445" s="34" t="s">
        <v>78</v>
      </c>
      <c r="E445" s="37">
        <f t="shared" si="33"/>
        <v>57393.71</v>
      </c>
      <c r="F445" s="37">
        <f t="shared" si="34"/>
        <v>57393.710044499996</v>
      </c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</row>
    <row r="446" spans="1:19" x14ac:dyDescent="0.3">
      <c r="A446" s="34" t="s">
        <v>64</v>
      </c>
      <c r="B446" s="34" t="s">
        <v>70</v>
      </c>
      <c r="C446" s="34" t="s">
        <v>76</v>
      </c>
      <c r="D446" s="34" t="s">
        <v>73</v>
      </c>
      <c r="E446" s="37">
        <f t="shared" si="33"/>
        <v>186358.66</v>
      </c>
      <c r="F446" s="37">
        <f t="shared" si="34"/>
        <v>186358.66004459999</v>
      </c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</row>
    <row r="447" spans="1:19" x14ac:dyDescent="0.3">
      <c r="A447" s="34" t="s">
        <v>64</v>
      </c>
      <c r="B447" s="34" t="s">
        <v>70</v>
      </c>
      <c r="C447" s="34" t="s">
        <v>76</v>
      </c>
      <c r="D447" s="34" t="s">
        <v>72</v>
      </c>
      <c r="E447" s="37">
        <f t="shared" si="33"/>
        <v>121910.39999999999</v>
      </c>
      <c r="F447" s="37">
        <f t="shared" si="34"/>
        <v>121910.4000447</v>
      </c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</row>
    <row r="448" spans="1:19" x14ac:dyDescent="0.3">
      <c r="A448" s="34" t="s">
        <v>64</v>
      </c>
      <c r="B448" s="34" t="s">
        <v>70</v>
      </c>
      <c r="C448" s="34" t="s">
        <v>76</v>
      </c>
      <c r="D448" s="34" t="s">
        <v>77</v>
      </c>
      <c r="E448" s="37">
        <f t="shared" si="33"/>
        <v>16420.599999999999</v>
      </c>
      <c r="F448" s="37">
        <f t="shared" si="34"/>
        <v>16420.600044799998</v>
      </c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</row>
    <row r="449" spans="1:19" x14ac:dyDescent="0.3">
      <c r="A449" s="34" t="s">
        <v>64</v>
      </c>
      <c r="B449" s="34" t="s">
        <v>70</v>
      </c>
      <c r="C449" s="34" t="s">
        <v>76</v>
      </c>
      <c r="D449" s="34" t="s">
        <v>63</v>
      </c>
      <c r="E449" s="37">
        <f t="shared" si="33"/>
        <v>89232.03</v>
      </c>
      <c r="F449" s="37">
        <f t="shared" si="34"/>
        <v>89232.030044900006</v>
      </c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</row>
    <row r="450" spans="1:19" x14ac:dyDescent="0.3">
      <c r="A450" s="34" t="s">
        <v>64</v>
      </c>
      <c r="B450" s="34" t="s">
        <v>70</v>
      </c>
      <c r="C450" s="34" t="s">
        <v>76</v>
      </c>
      <c r="D450" s="34" t="s">
        <v>66</v>
      </c>
      <c r="E450" s="37">
        <f t="shared" si="33"/>
        <v>92359.679999999993</v>
      </c>
      <c r="F450" s="37">
        <f t="shared" si="34"/>
        <v>92359.680044999986</v>
      </c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</row>
    <row r="451" spans="1:19" x14ac:dyDescent="0.3">
      <c r="A451" s="34" t="s">
        <v>64</v>
      </c>
      <c r="B451" s="34" t="s">
        <v>70</v>
      </c>
      <c r="C451" s="34" t="s">
        <v>76</v>
      </c>
      <c r="D451" s="34" t="s">
        <v>69</v>
      </c>
      <c r="E451" s="37">
        <f t="shared" si="33"/>
        <v>19956.230000000003</v>
      </c>
      <c r="F451" s="37">
        <f t="shared" si="34"/>
        <v>19956.230045100005</v>
      </c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</row>
    <row r="452" spans="1:19" x14ac:dyDescent="0.3">
      <c r="A452" s="34" t="s">
        <v>64</v>
      </c>
      <c r="B452" s="34" t="s">
        <v>70</v>
      </c>
      <c r="C452" s="34" t="s">
        <v>65</v>
      </c>
      <c r="D452" s="34" t="s">
        <v>78</v>
      </c>
      <c r="E452" s="37">
        <f t="shared" si="33"/>
        <v>50338.1</v>
      </c>
      <c r="F452" s="37">
        <f t="shared" si="34"/>
        <v>50338.100045200001</v>
      </c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</row>
    <row r="453" spans="1:19" x14ac:dyDescent="0.3">
      <c r="A453" s="34" t="s">
        <v>64</v>
      </c>
      <c r="B453" s="34" t="s">
        <v>70</v>
      </c>
      <c r="C453" s="34" t="s">
        <v>65</v>
      </c>
      <c r="D453" s="34" t="s">
        <v>73</v>
      </c>
      <c r="E453" s="37">
        <f t="shared" si="33"/>
        <v>157134.28</v>
      </c>
      <c r="F453" s="37">
        <f t="shared" si="34"/>
        <v>157134.28004529999</v>
      </c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</row>
    <row r="454" spans="1:19" x14ac:dyDescent="0.3">
      <c r="A454" s="34" t="s">
        <v>64</v>
      </c>
      <c r="B454" s="34" t="s">
        <v>70</v>
      </c>
      <c r="C454" s="34" t="s">
        <v>65</v>
      </c>
      <c r="D454" s="34" t="s">
        <v>72</v>
      </c>
      <c r="E454" s="37">
        <f t="shared" si="33"/>
        <v>7304.51</v>
      </c>
      <c r="F454" s="37">
        <f t="shared" si="34"/>
        <v>7304.5100454000003</v>
      </c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</row>
    <row r="455" spans="1:19" x14ac:dyDescent="0.3">
      <c r="A455" s="34" t="s">
        <v>64</v>
      </c>
      <c r="B455" s="34" t="s">
        <v>70</v>
      </c>
      <c r="C455" s="34" t="s">
        <v>65</v>
      </c>
      <c r="D455" s="34" t="s">
        <v>77</v>
      </c>
      <c r="E455" s="37">
        <f t="shared" si="33"/>
        <v>75169.86</v>
      </c>
      <c r="F455" s="37">
        <f t="shared" si="34"/>
        <v>75169.860045499998</v>
      </c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</row>
    <row r="456" spans="1:19" x14ac:dyDescent="0.3">
      <c r="A456" s="34" t="s">
        <v>64</v>
      </c>
      <c r="B456" s="34" t="s">
        <v>70</v>
      </c>
      <c r="C456" s="34" t="s">
        <v>65</v>
      </c>
      <c r="D456" s="34" t="s">
        <v>63</v>
      </c>
      <c r="E456" s="37">
        <f t="shared" si="33"/>
        <v>314959.19000000006</v>
      </c>
      <c r="F456" s="37">
        <f t="shared" si="34"/>
        <v>314959.19004560006</v>
      </c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</row>
    <row r="457" spans="1:19" x14ac:dyDescent="0.3">
      <c r="A457" s="34" t="s">
        <v>64</v>
      </c>
      <c r="B457" s="34" t="s">
        <v>70</v>
      </c>
      <c r="C457" s="34" t="s">
        <v>65</v>
      </c>
      <c r="D457" s="34" t="s">
        <v>66</v>
      </c>
      <c r="E457" s="37">
        <f t="shared" si="33"/>
        <v>105082.84999999999</v>
      </c>
      <c r="F457" s="37">
        <f t="shared" si="34"/>
        <v>105082.85004569999</v>
      </c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</row>
    <row r="458" spans="1:19" x14ac:dyDescent="0.3">
      <c r="A458" s="34" t="s">
        <v>64</v>
      </c>
      <c r="B458" s="34" t="s">
        <v>70</v>
      </c>
      <c r="C458" s="34" t="s">
        <v>65</v>
      </c>
      <c r="D458" s="34" t="s">
        <v>69</v>
      </c>
      <c r="E458" s="37">
        <f t="shared" si="33"/>
        <v>97052.87000000001</v>
      </c>
      <c r="F458" s="37">
        <f t="shared" si="34"/>
        <v>97052.870045800009</v>
      </c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</row>
    <row r="459" spans="1:19" x14ac:dyDescent="0.3">
      <c r="A459" s="34" t="s">
        <v>64</v>
      </c>
      <c r="B459" s="34" t="s">
        <v>70</v>
      </c>
      <c r="C459" s="34" t="s">
        <v>62</v>
      </c>
      <c r="D459" s="34" t="s">
        <v>78</v>
      </c>
      <c r="E459" s="37">
        <f t="shared" si="33"/>
        <v>0</v>
      </c>
      <c r="F459" s="37">
        <f t="shared" si="34"/>
        <v>4.5899999999999998E-5</v>
      </c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</row>
    <row r="460" spans="1:19" x14ac:dyDescent="0.3">
      <c r="A460" s="34" t="s">
        <v>64</v>
      </c>
      <c r="B460" s="34" t="s">
        <v>70</v>
      </c>
      <c r="C460" s="34" t="s">
        <v>62</v>
      </c>
      <c r="D460" s="34" t="s">
        <v>73</v>
      </c>
      <c r="E460" s="37">
        <f t="shared" si="33"/>
        <v>11596.25</v>
      </c>
      <c r="F460" s="37">
        <f t="shared" si="34"/>
        <v>11596.250045999999</v>
      </c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</row>
    <row r="461" spans="1:19" x14ac:dyDescent="0.3">
      <c r="A461" s="34" t="s">
        <v>64</v>
      </c>
      <c r="B461" s="34" t="s">
        <v>70</v>
      </c>
      <c r="C461" s="34" t="s">
        <v>62</v>
      </c>
      <c r="D461" s="34" t="s">
        <v>72</v>
      </c>
      <c r="E461" s="37">
        <f t="shared" si="33"/>
        <v>798.87</v>
      </c>
      <c r="F461" s="37">
        <f t="shared" si="34"/>
        <v>798.87004609999997</v>
      </c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</row>
    <row r="462" spans="1:19" x14ac:dyDescent="0.3">
      <c r="A462" s="34" t="s">
        <v>64</v>
      </c>
      <c r="B462" s="34" t="s">
        <v>70</v>
      </c>
      <c r="C462" s="34" t="s">
        <v>62</v>
      </c>
      <c r="D462" s="34" t="s">
        <v>77</v>
      </c>
      <c r="E462" s="37">
        <f t="shared" si="33"/>
        <v>216271.87</v>
      </c>
      <c r="F462" s="37">
        <f t="shared" si="34"/>
        <v>216271.8700462</v>
      </c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</row>
    <row r="463" spans="1:19" x14ac:dyDescent="0.3">
      <c r="A463" s="34" t="s">
        <v>64</v>
      </c>
      <c r="B463" s="34" t="s">
        <v>70</v>
      </c>
      <c r="C463" s="34" t="s">
        <v>62</v>
      </c>
      <c r="D463" s="34" t="s">
        <v>63</v>
      </c>
      <c r="E463" s="37">
        <f t="shared" si="33"/>
        <v>164413.23000000001</v>
      </c>
      <c r="F463" s="37">
        <f t="shared" si="34"/>
        <v>164413.23004630001</v>
      </c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</row>
    <row r="464" spans="1:19" x14ac:dyDescent="0.3">
      <c r="A464" s="34" t="s">
        <v>64</v>
      </c>
      <c r="B464" s="34" t="s">
        <v>70</v>
      </c>
      <c r="C464" s="34" t="s">
        <v>62</v>
      </c>
      <c r="D464" s="34" t="s">
        <v>66</v>
      </c>
      <c r="E464" s="37">
        <f t="shared" si="33"/>
        <v>292909.47000000003</v>
      </c>
      <c r="F464" s="37">
        <f t="shared" si="34"/>
        <v>292909.47004640003</v>
      </c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</row>
    <row r="465" spans="1:19" x14ac:dyDescent="0.3">
      <c r="A465" s="34" t="s">
        <v>64</v>
      </c>
      <c r="B465" s="34" t="s">
        <v>70</v>
      </c>
      <c r="C465" s="34" t="s">
        <v>62</v>
      </c>
      <c r="D465" s="34" t="s">
        <v>69</v>
      </c>
      <c r="E465" s="37">
        <f t="shared" si="33"/>
        <v>192479.40000000002</v>
      </c>
      <c r="F465" s="37">
        <f t="shared" si="34"/>
        <v>192479.40004650003</v>
      </c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</row>
    <row r="466" spans="1:19" x14ac:dyDescent="0.3">
      <c r="A466" s="34" t="s">
        <v>64</v>
      </c>
      <c r="B466" s="34" t="s">
        <v>70</v>
      </c>
      <c r="C466" s="34" t="s">
        <v>68</v>
      </c>
      <c r="D466" s="34" t="s">
        <v>78</v>
      </c>
      <c r="E466" s="37">
        <f t="shared" si="33"/>
        <v>438104.10000000003</v>
      </c>
      <c r="F466" s="37">
        <f t="shared" si="34"/>
        <v>438104.10004660004</v>
      </c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</row>
    <row r="467" spans="1:19" x14ac:dyDescent="0.3">
      <c r="A467" s="34" t="s">
        <v>64</v>
      </c>
      <c r="B467" s="34" t="s">
        <v>70</v>
      </c>
      <c r="C467" s="34" t="s">
        <v>68</v>
      </c>
      <c r="D467" s="34" t="s">
        <v>73</v>
      </c>
      <c r="E467" s="37">
        <f t="shared" si="33"/>
        <v>85799.069999999992</v>
      </c>
      <c r="F467" s="37">
        <f t="shared" si="34"/>
        <v>85799.070046699999</v>
      </c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</row>
    <row r="468" spans="1:19" x14ac:dyDescent="0.3">
      <c r="A468" s="34" t="s">
        <v>64</v>
      </c>
      <c r="B468" s="34" t="s">
        <v>70</v>
      </c>
      <c r="C468" s="34" t="s">
        <v>68</v>
      </c>
      <c r="D468" s="34" t="s">
        <v>72</v>
      </c>
      <c r="E468" s="37">
        <f t="shared" si="33"/>
        <v>47879.18</v>
      </c>
      <c r="F468" s="37">
        <f t="shared" si="34"/>
        <v>47879.1800468</v>
      </c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</row>
    <row r="469" spans="1:19" x14ac:dyDescent="0.3">
      <c r="A469" s="34" t="s">
        <v>64</v>
      </c>
      <c r="B469" s="34" t="s">
        <v>70</v>
      </c>
      <c r="C469" s="34" t="s">
        <v>68</v>
      </c>
      <c r="D469" s="34" t="s">
        <v>77</v>
      </c>
      <c r="E469" s="37">
        <f t="shared" si="33"/>
        <v>256759.45</v>
      </c>
      <c r="F469" s="37">
        <f t="shared" si="34"/>
        <v>256759.45004690002</v>
      </c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</row>
    <row r="470" spans="1:19" x14ac:dyDescent="0.3">
      <c r="A470" s="34" t="s">
        <v>64</v>
      </c>
      <c r="B470" s="34" t="s">
        <v>70</v>
      </c>
      <c r="C470" s="34" t="s">
        <v>68</v>
      </c>
      <c r="D470" s="34" t="s">
        <v>63</v>
      </c>
      <c r="E470" s="37">
        <f t="shared" si="33"/>
        <v>182530.96999999997</v>
      </c>
      <c r="F470" s="37">
        <f t="shared" si="34"/>
        <v>182530.97004699998</v>
      </c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</row>
    <row r="471" spans="1:19" x14ac:dyDescent="0.3">
      <c r="A471" s="34" t="s">
        <v>64</v>
      </c>
      <c r="B471" s="34" t="s">
        <v>70</v>
      </c>
      <c r="C471" s="34" t="s">
        <v>68</v>
      </c>
      <c r="D471" s="34" t="s">
        <v>66</v>
      </c>
      <c r="E471" s="37">
        <f t="shared" si="33"/>
        <v>15810.74</v>
      </c>
      <c r="F471" s="37">
        <f t="shared" si="34"/>
        <v>15810.7400471</v>
      </c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</row>
    <row r="472" spans="1:19" x14ac:dyDescent="0.3">
      <c r="A472" s="34" t="s">
        <v>64</v>
      </c>
      <c r="B472" s="34" t="s">
        <v>70</v>
      </c>
      <c r="C472" s="34" t="s">
        <v>68</v>
      </c>
      <c r="D472" s="34" t="s">
        <v>69</v>
      </c>
      <c r="E472" s="37">
        <f t="shared" si="33"/>
        <v>0</v>
      </c>
      <c r="F472" s="37">
        <f t="shared" si="34"/>
        <v>4.7199999999999995E-5</v>
      </c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</row>
    <row r="473" spans="1:19" x14ac:dyDescent="0.3">
      <c r="A473" s="34" t="s">
        <v>64</v>
      </c>
      <c r="B473" s="34" t="s">
        <v>70</v>
      </c>
      <c r="C473" s="34" t="s">
        <v>71</v>
      </c>
      <c r="D473" s="34" t="s">
        <v>78</v>
      </c>
      <c r="E473" s="37">
        <f t="shared" si="33"/>
        <v>22619.16</v>
      </c>
      <c r="F473" s="37">
        <f t="shared" si="34"/>
        <v>22619.1600473</v>
      </c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</row>
    <row r="474" spans="1:19" x14ac:dyDescent="0.3">
      <c r="A474" s="34" t="s">
        <v>64</v>
      </c>
      <c r="B474" s="34" t="s">
        <v>70</v>
      </c>
      <c r="C474" s="34" t="s">
        <v>71</v>
      </c>
      <c r="D474" s="34" t="s">
        <v>73</v>
      </c>
      <c r="E474" s="37">
        <f t="shared" si="33"/>
        <v>205837.88</v>
      </c>
      <c r="F474" s="37">
        <f t="shared" si="34"/>
        <v>205837.88004740002</v>
      </c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</row>
    <row r="475" spans="1:19" x14ac:dyDescent="0.3">
      <c r="A475" s="34" t="s">
        <v>64</v>
      </c>
      <c r="B475" s="34" t="s">
        <v>70</v>
      </c>
      <c r="C475" s="34" t="s">
        <v>71</v>
      </c>
      <c r="D475" s="34" t="s">
        <v>72</v>
      </c>
      <c r="E475" s="37">
        <f t="shared" si="33"/>
        <v>271893.53000000003</v>
      </c>
      <c r="F475" s="37">
        <f t="shared" si="34"/>
        <v>271893.53004750004</v>
      </c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</row>
    <row r="476" spans="1:19" x14ac:dyDescent="0.3">
      <c r="A476" s="34" t="s">
        <v>64</v>
      </c>
      <c r="B476" s="34" t="s">
        <v>70</v>
      </c>
      <c r="C476" s="34" t="s">
        <v>71</v>
      </c>
      <c r="D476" s="34" t="s">
        <v>77</v>
      </c>
      <c r="E476" s="37">
        <f t="shared" si="33"/>
        <v>448558.22</v>
      </c>
      <c r="F476" s="37">
        <f t="shared" si="34"/>
        <v>448558.22004759999</v>
      </c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</row>
    <row r="477" spans="1:19" x14ac:dyDescent="0.3">
      <c r="A477" s="34" t="s">
        <v>64</v>
      </c>
      <c r="B477" s="34" t="s">
        <v>70</v>
      </c>
      <c r="C477" s="34" t="s">
        <v>71</v>
      </c>
      <c r="D477" s="34" t="s">
        <v>63</v>
      </c>
      <c r="E477" s="37">
        <f t="shared" si="33"/>
        <v>339101.25</v>
      </c>
      <c r="F477" s="37">
        <f t="shared" si="34"/>
        <v>339101.25004770001</v>
      </c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</row>
    <row r="478" spans="1:19" x14ac:dyDescent="0.3">
      <c r="A478" s="34" t="s">
        <v>64</v>
      </c>
      <c r="B478" s="34" t="s">
        <v>70</v>
      </c>
      <c r="C478" s="34" t="s">
        <v>71</v>
      </c>
      <c r="D478" s="34" t="s">
        <v>66</v>
      </c>
      <c r="E478" s="37">
        <f t="shared" si="33"/>
        <v>0</v>
      </c>
      <c r="F478" s="37">
        <f t="shared" si="34"/>
        <v>4.7799999999999996E-5</v>
      </c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</row>
    <row r="479" spans="1:19" x14ac:dyDescent="0.3">
      <c r="A479" s="34" t="s">
        <v>64</v>
      </c>
      <c r="B479" s="34" t="s">
        <v>70</v>
      </c>
      <c r="C479" s="34" t="s">
        <v>71</v>
      </c>
      <c r="D479" s="34" t="s">
        <v>69</v>
      </c>
      <c r="E479" s="37">
        <f t="shared" ref="E479:E514" si="35">SUMIFS(d_rev,d_date,"&gt;="&amp;$B$9,d_date,"&lt;="&amp;$B$10,d_plat,$C$4,d_type,$C$7,d_ind,$C$5,d_ctry,$C$6,d_plat,$A479,d_type,$B479,d_ind,$C479,d_ctry,$D479)</f>
        <v>370515.42</v>
      </c>
      <c r="F479" s="37">
        <f t="shared" ref="F479:F514" si="36">E479+ROW()*0.0000001</f>
        <v>370515.4200479</v>
      </c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</row>
    <row r="480" spans="1:19" x14ac:dyDescent="0.3">
      <c r="A480" s="34" t="s">
        <v>64</v>
      </c>
      <c r="B480" s="34" t="s">
        <v>67</v>
      </c>
      <c r="C480" s="34" t="s">
        <v>76</v>
      </c>
      <c r="D480" s="34" t="s">
        <v>78</v>
      </c>
      <c r="E480" s="37">
        <f t="shared" si="35"/>
        <v>185420.92</v>
      </c>
      <c r="F480" s="37">
        <f t="shared" si="36"/>
        <v>185420.920048</v>
      </c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</row>
    <row r="481" spans="1:19" x14ac:dyDescent="0.3">
      <c r="A481" s="34" t="s">
        <v>64</v>
      </c>
      <c r="B481" s="34" t="s">
        <v>67</v>
      </c>
      <c r="C481" s="34" t="s">
        <v>76</v>
      </c>
      <c r="D481" s="34" t="s">
        <v>73</v>
      </c>
      <c r="E481" s="37">
        <f t="shared" si="35"/>
        <v>214223.2</v>
      </c>
      <c r="F481" s="37">
        <f t="shared" si="36"/>
        <v>214223.2000481</v>
      </c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</row>
    <row r="482" spans="1:19" x14ac:dyDescent="0.3">
      <c r="A482" s="34" t="s">
        <v>64</v>
      </c>
      <c r="B482" s="34" t="s">
        <v>67</v>
      </c>
      <c r="C482" s="34" t="s">
        <v>76</v>
      </c>
      <c r="D482" s="34" t="s">
        <v>72</v>
      </c>
      <c r="E482" s="37">
        <f t="shared" si="35"/>
        <v>204662.71</v>
      </c>
      <c r="F482" s="37">
        <f t="shared" si="36"/>
        <v>204662.71004819998</v>
      </c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</row>
    <row r="483" spans="1:19" x14ac:dyDescent="0.3">
      <c r="A483" s="34" t="s">
        <v>64</v>
      </c>
      <c r="B483" s="34" t="s">
        <v>67</v>
      </c>
      <c r="C483" s="34" t="s">
        <v>76</v>
      </c>
      <c r="D483" s="34" t="s">
        <v>77</v>
      </c>
      <c r="E483" s="37">
        <f t="shared" si="35"/>
        <v>34448.53</v>
      </c>
      <c r="F483" s="37">
        <f t="shared" si="36"/>
        <v>34448.530048299996</v>
      </c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</row>
    <row r="484" spans="1:19" x14ac:dyDescent="0.3">
      <c r="A484" s="34" t="s">
        <v>64</v>
      </c>
      <c r="B484" s="34" t="s">
        <v>67</v>
      </c>
      <c r="C484" s="34" t="s">
        <v>76</v>
      </c>
      <c r="D484" s="34" t="s">
        <v>63</v>
      </c>
      <c r="E484" s="37">
        <f t="shared" si="35"/>
        <v>0</v>
      </c>
      <c r="F484" s="37">
        <f t="shared" si="36"/>
        <v>4.8399999999999997E-5</v>
      </c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</row>
    <row r="485" spans="1:19" x14ac:dyDescent="0.3">
      <c r="A485" s="34" t="s">
        <v>64</v>
      </c>
      <c r="B485" s="34" t="s">
        <v>67</v>
      </c>
      <c r="C485" s="34" t="s">
        <v>76</v>
      </c>
      <c r="D485" s="34" t="s">
        <v>66</v>
      </c>
      <c r="E485" s="37">
        <f t="shared" si="35"/>
        <v>96779.47</v>
      </c>
      <c r="F485" s="37">
        <f t="shared" si="36"/>
        <v>96779.470048500007</v>
      </c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</row>
    <row r="486" spans="1:19" x14ac:dyDescent="0.3">
      <c r="A486" s="34" t="s">
        <v>64</v>
      </c>
      <c r="B486" s="34" t="s">
        <v>67</v>
      </c>
      <c r="C486" s="34" t="s">
        <v>76</v>
      </c>
      <c r="D486" s="34" t="s">
        <v>69</v>
      </c>
      <c r="E486" s="37">
        <f t="shared" si="35"/>
        <v>26271.22</v>
      </c>
      <c r="F486" s="37">
        <f t="shared" si="36"/>
        <v>26271.2200486</v>
      </c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</row>
    <row r="487" spans="1:19" x14ac:dyDescent="0.3">
      <c r="A487" s="34" t="s">
        <v>64</v>
      </c>
      <c r="B487" s="34" t="s">
        <v>67</v>
      </c>
      <c r="C487" s="34" t="s">
        <v>65</v>
      </c>
      <c r="D487" s="34" t="s">
        <v>78</v>
      </c>
      <c r="E487" s="37">
        <f t="shared" si="35"/>
        <v>60790.12</v>
      </c>
      <c r="F487" s="37">
        <f t="shared" si="36"/>
        <v>60790.120048700002</v>
      </c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</row>
    <row r="488" spans="1:19" x14ac:dyDescent="0.3">
      <c r="A488" s="34" t="s">
        <v>64</v>
      </c>
      <c r="B488" s="34" t="s">
        <v>67</v>
      </c>
      <c r="C488" s="34" t="s">
        <v>65</v>
      </c>
      <c r="D488" s="34" t="s">
        <v>73</v>
      </c>
      <c r="E488" s="37">
        <f t="shared" si="35"/>
        <v>101268.38</v>
      </c>
      <c r="F488" s="37">
        <f t="shared" si="36"/>
        <v>101268.3800488</v>
      </c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</row>
    <row r="489" spans="1:19" x14ac:dyDescent="0.3">
      <c r="A489" s="34" t="s">
        <v>64</v>
      </c>
      <c r="B489" s="34" t="s">
        <v>67</v>
      </c>
      <c r="C489" s="34" t="s">
        <v>65</v>
      </c>
      <c r="D489" s="34" t="s">
        <v>72</v>
      </c>
      <c r="E489" s="37">
        <f t="shared" si="35"/>
        <v>65124.36</v>
      </c>
      <c r="F489" s="37">
        <f t="shared" si="36"/>
        <v>65124.360048900002</v>
      </c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</row>
    <row r="490" spans="1:19" x14ac:dyDescent="0.3">
      <c r="A490" s="34" t="s">
        <v>64</v>
      </c>
      <c r="B490" s="34" t="s">
        <v>67</v>
      </c>
      <c r="C490" s="34" t="s">
        <v>65</v>
      </c>
      <c r="D490" s="34" t="s">
        <v>77</v>
      </c>
      <c r="E490" s="37">
        <f t="shared" si="35"/>
        <v>517884.41</v>
      </c>
      <c r="F490" s="37">
        <f t="shared" si="36"/>
        <v>517884.410049</v>
      </c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</row>
    <row r="491" spans="1:19" x14ac:dyDescent="0.3">
      <c r="A491" s="34" t="s">
        <v>64</v>
      </c>
      <c r="B491" s="34" t="s">
        <v>67</v>
      </c>
      <c r="C491" s="34" t="s">
        <v>65</v>
      </c>
      <c r="D491" s="34" t="s">
        <v>63</v>
      </c>
      <c r="E491" s="37">
        <f t="shared" si="35"/>
        <v>216416.80999999997</v>
      </c>
      <c r="F491" s="37">
        <f t="shared" si="36"/>
        <v>216416.81004909996</v>
      </c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</row>
    <row r="492" spans="1:19" x14ac:dyDescent="0.3">
      <c r="A492" s="34" t="s">
        <v>64</v>
      </c>
      <c r="B492" s="34" t="s">
        <v>67</v>
      </c>
      <c r="C492" s="34" t="s">
        <v>65</v>
      </c>
      <c r="D492" s="34" t="s">
        <v>66</v>
      </c>
      <c r="E492" s="37">
        <f t="shared" si="35"/>
        <v>161603.95000000001</v>
      </c>
      <c r="F492" s="37">
        <f t="shared" si="36"/>
        <v>161603.95004920001</v>
      </c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</row>
    <row r="493" spans="1:19" x14ac:dyDescent="0.3">
      <c r="A493" s="34" t="s">
        <v>64</v>
      </c>
      <c r="B493" s="34" t="s">
        <v>67</v>
      </c>
      <c r="C493" s="34" t="s">
        <v>65</v>
      </c>
      <c r="D493" s="34" t="s">
        <v>69</v>
      </c>
      <c r="E493" s="37">
        <f t="shared" si="35"/>
        <v>0</v>
      </c>
      <c r="F493" s="37">
        <f t="shared" si="36"/>
        <v>4.9299999999999999E-5</v>
      </c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</row>
    <row r="494" spans="1:19" x14ac:dyDescent="0.3">
      <c r="A494" s="34" t="s">
        <v>64</v>
      </c>
      <c r="B494" s="34" t="s">
        <v>67</v>
      </c>
      <c r="C494" s="34" t="s">
        <v>62</v>
      </c>
      <c r="D494" s="34" t="s">
        <v>78</v>
      </c>
      <c r="E494" s="37">
        <f t="shared" si="35"/>
        <v>49247.64</v>
      </c>
      <c r="F494" s="37">
        <f t="shared" si="36"/>
        <v>49247.640049399997</v>
      </c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</row>
    <row r="495" spans="1:19" x14ac:dyDescent="0.3">
      <c r="A495" s="34" t="s">
        <v>64</v>
      </c>
      <c r="B495" s="34" t="s">
        <v>67</v>
      </c>
      <c r="C495" s="34" t="s">
        <v>62</v>
      </c>
      <c r="D495" s="34" t="s">
        <v>73</v>
      </c>
      <c r="E495" s="37">
        <f t="shared" si="35"/>
        <v>257478.42</v>
      </c>
      <c r="F495" s="37">
        <f t="shared" si="36"/>
        <v>257478.42004950001</v>
      </c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</row>
    <row r="496" spans="1:19" x14ac:dyDescent="0.3">
      <c r="A496" s="34" t="s">
        <v>64</v>
      </c>
      <c r="B496" s="34" t="s">
        <v>67</v>
      </c>
      <c r="C496" s="34" t="s">
        <v>62</v>
      </c>
      <c r="D496" s="34" t="s">
        <v>72</v>
      </c>
      <c r="E496" s="37">
        <f t="shared" si="35"/>
        <v>208191.78</v>
      </c>
      <c r="F496" s="37">
        <f t="shared" si="36"/>
        <v>208191.7800496</v>
      </c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</row>
    <row r="497" spans="1:19" x14ac:dyDescent="0.3">
      <c r="A497" s="34" t="s">
        <v>64</v>
      </c>
      <c r="B497" s="34" t="s">
        <v>67</v>
      </c>
      <c r="C497" s="34" t="s">
        <v>62</v>
      </c>
      <c r="D497" s="34" t="s">
        <v>77</v>
      </c>
      <c r="E497" s="37">
        <f t="shared" si="35"/>
        <v>340160.33</v>
      </c>
      <c r="F497" s="37">
        <f t="shared" si="36"/>
        <v>340160.33004969999</v>
      </c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</row>
    <row r="498" spans="1:19" x14ac:dyDescent="0.3">
      <c r="A498" s="34" t="s">
        <v>64</v>
      </c>
      <c r="B498" s="34" t="s">
        <v>67</v>
      </c>
      <c r="C498" s="34" t="s">
        <v>62</v>
      </c>
      <c r="D498" s="34" t="s">
        <v>63</v>
      </c>
      <c r="E498" s="37">
        <f t="shared" si="35"/>
        <v>27567.670000000002</v>
      </c>
      <c r="F498" s="37">
        <f t="shared" si="36"/>
        <v>27567.670049800003</v>
      </c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</row>
    <row r="499" spans="1:19" x14ac:dyDescent="0.3">
      <c r="A499" s="34" t="s">
        <v>64</v>
      </c>
      <c r="B499" s="34" t="s">
        <v>67</v>
      </c>
      <c r="C499" s="34" t="s">
        <v>62</v>
      </c>
      <c r="D499" s="34" t="s">
        <v>66</v>
      </c>
      <c r="E499" s="37">
        <f t="shared" si="35"/>
        <v>0</v>
      </c>
      <c r="F499" s="37">
        <f t="shared" si="36"/>
        <v>4.99E-5</v>
      </c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</row>
    <row r="500" spans="1:19" x14ac:dyDescent="0.3">
      <c r="A500" s="34" t="s">
        <v>64</v>
      </c>
      <c r="B500" s="34" t="s">
        <v>67</v>
      </c>
      <c r="C500" s="34" t="s">
        <v>62</v>
      </c>
      <c r="D500" s="34" t="s">
        <v>69</v>
      </c>
      <c r="E500" s="37">
        <f t="shared" si="35"/>
        <v>142852.72999999998</v>
      </c>
      <c r="F500" s="37">
        <f t="shared" si="36"/>
        <v>142852.73004999998</v>
      </c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</row>
    <row r="501" spans="1:19" x14ac:dyDescent="0.3">
      <c r="A501" s="34" t="s">
        <v>64</v>
      </c>
      <c r="B501" s="34" t="s">
        <v>67</v>
      </c>
      <c r="C501" s="34" t="s">
        <v>68</v>
      </c>
      <c r="D501" s="34" t="s">
        <v>78</v>
      </c>
      <c r="E501" s="37">
        <f t="shared" si="35"/>
        <v>177763.33000000002</v>
      </c>
      <c r="F501" s="37">
        <f t="shared" si="36"/>
        <v>177763.33005010002</v>
      </c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</row>
    <row r="502" spans="1:19" x14ac:dyDescent="0.3">
      <c r="A502" s="34" t="s">
        <v>64</v>
      </c>
      <c r="B502" s="34" t="s">
        <v>67</v>
      </c>
      <c r="C502" s="34" t="s">
        <v>68</v>
      </c>
      <c r="D502" s="34" t="s">
        <v>73</v>
      </c>
      <c r="E502" s="37">
        <f t="shared" si="35"/>
        <v>30554.010000000002</v>
      </c>
      <c r="F502" s="37">
        <f t="shared" si="36"/>
        <v>30554.010050200002</v>
      </c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</row>
    <row r="503" spans="1:19" x14ac:dyDescent="0.3">
      <c r="A503" s="34" t="s">
        <v>64</v>
      </c>
      <c r="B503" s="34" t="s">
        <v>67</v>
      </c>
      <c r="C503" s="34" t="s">
        <v>68</v>
      </c>
      <c r="D503" s="34" t="s">
        <v>72</v>
      </c>
      <c r="E503" s="37">
        <f t="shared" si="35"/>
        <v>28726.52</v>
      </c>
      <c r="F503" s="37">
        <f t="shared" si="36"/>
        <v>28726.520050300001</v>
      </c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</row>
    <row r="504" spans="1:19" x14ac:dyDescent="0.3">
      <c r="A504" s="34" t="s">
        <v>64</v>
      </c>
      <c r="B504" s="34" t="s">
        <v>67</v>
      </c>
      <c r="C504" s="34" t="s">
        <v>68</v>
      </c>
      <c r="D504" s="34" t="s">
        <v>77</v>
      </c>
      <c r="E504" s="37">
        <f t="shared" si="35"/>
        <v>49409.18</v>
      </c>
      <c r="F504" s="37">
        <f t="shared" si="36"/>
        <v>49409.180050399998</v>
      </c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</row>
    <row r="505" spans="1:19" x14ac:dyDescent="0.3">
      <c r="A505" s="34" t="s">
        <v>64</v>
      </c>
      <c r="B505" s="34" t="s">
        <v>67</v>
      </c>
      <c r="C505" s="34" t="s">
        <v>68</v>
      </c>
      <c r="D505" s="34" t="s">
        <v>63</v>
      </c>
      <c r="E505" s="37">
        <f t="shared" si="35"/>
        <v>150767.39000000001</v>
      </c>
      <c r="F505" s="37">
        <f t="shared" si="36"/>
        <v>150767.39005050002</v>
      </c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</row>
    <row r="506" spans="1:19" x14ac:dyDescent="0.3">
      <c r="A506" s="34" t="s">
        <v>64</v>
      </c>
      <c r="B506" s="34" t="s">
        <v>67</v>
      </c>
      <c r="C506" s="34" t="s">
        <v>68</v>
      </c>
      <c r="D506" s="34" t="s">
        <v>66</v>
      </c>
      <c r="E506" s="37">
        <f t="shared" si="35"/>
        <v>30524.61</v>
      </c>
      <c r="F506" s="37">
        <f t="shared" si="36"/>
        <v>30524.6100506</v>
      </c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</row>
    <row r="507" spans="1:19" x14ac:dyDescent="0.3">
      <c r="A507" s="34" t="s">
        <v>64</v>
      </c>
      <c r="B507" s="34" t="s">
        <v>67</v>
      </c>
      <c r="C507" s="34" t="s">
        <v>68</v>
      </c>
      <c r="D507" s="34" t="s">
        <v>69</v>
      </c>
      <c r="E507" s="37">
        <f t="shared" si="35"/>
        <v>199893.22</v>
      </c>
      <c r="F507" s="37">
        <f t="shared" si="36"/>
        <v>199893.22005070001</v>
      </c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</row>
    <row r="508" spans="1:19" x14ac:dyDescent="0.3">
      <c r="A508" s="34" t="s">
        <v>64</v>
      </c>
      <c r="B508" s="34" t="s">
        <v>67</v>
      </c>
      <c r="C508" s="34" t="s">
        <v>71</v>
      </c>
      <c r="D508" s="34" t="s">
        <v>78</v>
      </c>
      <c r="E508" s="37">
        <f t="shared" si="35"/>
        <v>26244.38</v>
      </c>
      <c r="F508" s="37">
        <f t="shared" si="36"/>
        <v>26244.380050800002</v>
      </c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</row>
    <row r="509" spans="1:19" x14ac:dyDescent="0.3">
      <c r="A509" s="34" t="s">
        <v>64</v>
      </c>
      <c r="B509" s="34" t="s">
        <v>67</v>
      </c>
      <c r="C509" s="34" t="s">
        <v>71</v>
      </c>
      <c r="D509" s="34" t="s">
        <v>73</v>
      </c>
      <c r="E509" s="37">
        <f t="shared" si="35"/>
        <v>160711.93</v>
      </c>
      <c r="F509" s="37">
        <f t="shared" si="36"/>
        <v>160711.9300509</v>
      </c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</row>
    <row r="510" spans="1:19" x14ac:dyDescent="0.3">
      <c r="A510" s="34" t="s">
        <v>64</v>
      </c>
      <c r="B510" s="34" t="s">
        <v>67</v>
      </c>
      <c r="C510" s="34" t="s">
        <v>71</v>
      </c>
      <c r="D510" s="34" t="s">
        <v>72</v>
      </c>
      <c r="E510" s="37">
        <f t="shared" si="35"/>
        <v>166945.26999999999</v>
      </c>
      <c r="F510" s="37">
        <f t="shared" si="36"/>
        <v>166945.270051</v>
      </c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</row>
    <row r="511" spans="1:19" x14ac:dyDescent="0.3">
      <c r="A511" s="34" t="s">
        <v>64</v>
      </c>
      <c r="B511" s="34" t="s">
        <v>67</v>
      </c>
      <c r="C511" s="34" t="s">
        <v>71</v>
      </c>
      <c r="D511" s="34" t="s">
        <v>77</v>
      </c>
      <c r="E511" s="37">
        <f t="shared" si="35"/>
        <v>29302.17</v>
      </c>
      <c r="F511" s="37">
        <f t="shared" si="36"/>
        <v>29302.170051099998</v>
      </c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</row>
    <row r="512" spans="1:19" x14ac:dyDescent="0.3">
      <c r="A512" s="34" t="s">
        <v>64</v>
      </c>
      <c r="B512" s="34" t="s">
        <v>67</v>
      </c>
      <c r="C512" s="34" t="s">
        <v>71</v>
      </c>
      <c r="D512" s="34" t="s">
        <v>63</v>
      </c>
      <c r="E512" s="37">
        <f t="shared" si="35"/>
        <v>101425.46</v>
      </c>
      <c r="F512" s="37">
        <f t="shared" si="36"/>
        <v>101425.4600512</v>
      </c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</row>
    <row r="513" spans="1:19" x14ac:dyDescent="0.3">
      <c r="A513" s="34" t="s">
        <v>64</v>
      </c>
      <c r="B513" s="34" t="s">
        <v>67</v>
      </c>
      <c r="C513" s="34" t="s">
        <v>71</v>
      </c>
      <c r="D513" s="34" t="s">
        <v>66</v>
      </c>
      <c r="E513" s="37">
        <f t="shared" si="35"/>
        <v>164740.18</v>
      </c>
      <c r="F513" s="37">
        <f t="shared" si="36"/>
        <v>164740.18005130001</v>
      </c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</row>
    <row r="514" spans="1:19" x14ac:dyDescent="0.3">
      <c r="A514" s="34" t="s">
        <v>64</v>
      </c>
      <c r="B514" s="34" t="s">
        <v>67</v>
      </c>
      <c r="C514" s="34" t="s">
        <v>71</v>
      </c>
      <c r="D514" s="34" t="s">
        <v>69</v>
      </c>
      <c r="E514" s="37">
        <f t="shared" si="35"/>
        <v>281709.84999999998</v>
      </c>
      <c r="F514" s="37">
        <f t="shared" si="36"/>
        <v>281709.85005139996</v>
      </c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896AB"/>
  </sheetPr>
  <dimension ref="A1:M22"/>
  <sheetViews>
    <sheetView zoomScaleNormal="100" workbookViewId="0"/>
  </sheetViews>
  <sheetFormatPr defaultColWidth="8.6640625" defaultRowHeight="14.4" x14ac:dyDescent="0.3"/>
  <cols>
    <col min="1" max="13" width="20" customWidth="1"/>
  </cols>
  <sheetData>
    <row r="1" spans="1:13" x14ac:dyDescent="0.3">
      <c r="A1" s="40" t="s">
        <v>124</v>
      </c>
      <c r="B1" s="34">
        <f>YEAR(MIN(Data!A:A))</f>
        <v>2024</v>
      </c>
      <c r="D1" s="45" t="s">
        <v>125</v>
      </c>
    </row>
    <row r="3" spans="1:13" x14ac:dyDescent="0.3">
      <c r="A3" s="41" t="s">
        <v>80</v>
      </c>
      <c r="B3" s="41" t="s">
        <v>117</v>
      </c>
      <c r="C3" s="41" t="s">
        <v>118</v>
      </c>
      <c r="E3" s="41" t="s">
        <v>41</v>
      </c>
      <c r="G3" s="41" t="s">
        <v>43</v>
      </c>
      <c r="I3" s="41" t="s">
        <v>44</v>
      </c>
      <c r="K3" s="41" t="s">
        <v>42</v>
      </c>
      <c r="M3" s="41" t="s">
        <v>116</v>
      </c>
    </row>
    <row r="4" spans="1:13" x14ac:dyDescent="0.3">
      <c r="A4" s="34" t="s">
        <v>24</v>
      </c>
      <c r="B4" s="33">
        <f>DATE($B$1,1,1)</f>
        <v>45292</v>
      </c>
      <c r="C4" s="33">
        <f>DATE($B$1,12,31)</f>
        <v>45657</v>
      </c>
      <c r="E4" s="34" t="s">
        <v>25</v>
      </c>
      <c r="G4" s="34" t="s">
        <v>26</v>
      </c>
      <c r="I4" s="34" t="s">
        <v>27</v>
      </c>
      <c r="K4" s="34" t="s">
        <v>28</v>
      </c>
      <c r="M4" s="34" t="s">
        <v>126</v>
      </c>
    </row>
    <row r="5" spans="1:13" x14ac:dyDescent="0.3">
      <c r="A5" s="34" t="s">
        <v>127</v>
      </c>
      <c r="B5" s="33">
        <f>DATE($B$1,1,1)</f>
        <v>45292</v>
      </c>
      <c r="C5" s="33">
        <f>EOMONTH(DATE($B$1,3,1),0)</f>
        <v>45382</v>
      </c>
      <c r="E5" s="34" t="s">
        <v>60</v>
      </c>
      <c r="G5" s="34" t="s">
        <v>76</v>
      </c>
      <c r="I5" s="34" t="s">
        <v>78</v>
      </c>
      <c r="K5" s="34" t="s">
        <v>75</v>
      </c>
      <c r="M5" s="34" t="s">
        <v>128</v>
      </c>
    </row>
    <row r="6" spans="1:13" x14ac:dyDescent="0.3">
      <c r="A6" s="34" t="s">
        <v>129</v>
      </c>
      <c r="B6" s="33">
        <f>DATE($B$1,4,1)</f>
        <v>45383</v>
      </c>
      <c r="C6" s="33">
        <f>EOMONTH(DATE($B$1,6,1),0)</f>
        <v>45473</v>
      </c>
      <c r="E6" s="34" t="s">
        <v>74</v>
      </c>
      <c r="G6" s="34" t="s">
        <v>65</v>
      </c>
      <c r="I6" s="34" t="s">
        <v>73</v>
      </c>
      <c r="K6" s="34" t="s">
        <v>61</v>
      </c>
      <c r="M6" s="34" t="s">
        <v>130</v>
      </c>
    </row>
    <row r="7" spans="1:13" x14ac:dyDescent="0.3">
      <c r="A7" s="34" t="s">
        <v>131</v>
      </c>
      <c r="B7" s="33">
        <f>DATE($B$1,7,1)</f>
        <v>45474</v>
      </c>
      <c r="C7" s="33">
        <f>EOMONTH(DATE($B$1,9,1),0)</f>
        <v>45565</v>
      </c>
      <c r="E7" s="34" t="s">
        <v>64</v>
      </c>
      <c r="G7" s="34" t="s">
        <v>62</v>
      </c>
      <c r="I7" s="34" t="s">
        <v>72</v>
      </c>
      <c r="K7" s="34" t="s">
        <v>70</v>
      </c>
      <c r="M7" s="34" t="s">
        <v>132</v>
      </c>
    </row>
    <row r="8" spans="1:13" x14ac:dyDescent="0.3">
      <c r="A8" s="34" t="s">
        <v>133</v>
      </c>
      <c r="B8" s="33">
        <f>DATE($B$1,10,1)</f>
        <v>45566</v>
      </c>
      <c r="C8" s="33">
        <f>EOMONTH(DATE($B$1,12,1),0)</f>
        <v>45657</v>
      </c>
      <c r="G8" s="34" t="s">
        <v>68</v>
      </c>
      <c r="I8" s="34" t="s">
        <v>77</v>
      </c>
      <c r="K8" s="34" t="s">
        <v>67</v>
      </c>
      <c r="M8" s="34" t="s">
        <v>134</v>
      </c>
    </row>
    <row r="9" spans="1:13" x14ac:dyDescent="0.3">
      <c r="A9" s="34" t="s">
        <v>135</v>
      </c>
      <c r="B9" s="33">
        <f>DATE($B$1,1,1)</f>
        <v>45292</v>
      </c>
      <c r="C9" s="33">
        <f>EOMONTH(DATE($B$1,6,1),0)</f>
        <v>45473</v>
      </c>
      <c r="G9" s="34" t="s">
        <v>71</v>
      </c>
      <c r="I9" s="34" t="s">
        <v>63</v>
      </c>
      <c r="M9" s="34" t="s">
        <v>136</v>
      </c>
    </row>
    <row r="10" spans="1:13" x14ac:dyDescent="0.3">
      <c r="A10" s="34" t="s">
        <v>137</v>
      </c>
      <c r="B10" s="33">
        <f>DATE($B$1,7,1)</f>
        <v>45474</v>
      </c>
      <c r="C10" s="33">
        <f>EOMONTH(DATE($B$1,12,1),0)</f>
        <v>45657</v>
      </c>
      <c r="I10" s="34" t="s">
        <v>66</v>
      </c>
      <c r="M10" s="34" t="s">
        <v>138</v>
      </c>
    </row>
    <row r="11" spans="1:13" x14ac:dyDescent="0.3">
      <c r="A11" s="34" t="s">
        <v>139</v>
      </c>
      <c r="B11" s="33">
        <f>DATE($B$1,1,1)</f>
        <v>45292</v>
      </c>
      <c r="C11" s="33">
        <f>EOMONTH(DATE($B$1,1,1),0)</f>
        <v>45322</v>
      </c>
      <c r="I11" s="34" t="s">
        <v>69</v>
      </c>
      <c r="M11" s="34" t="s">
        <v>140</v>
      </c>
    </row>
    <row r="12" spans="1:13" x14ac:dyDescent="0.3">
      <c r="A12" s="34" t="s">
        <v>141</v>
      </c>
      <c r="B12" s="33">
        <f>DATE($B$1,2,1)</f>
        <v>45323</v>
      </c>
      <c r="C12" s="33">
        <f>EOMONTH(DATE($B$1,2,1),0)</f>
        <v>45351</v>
      </c>
      <c r="M12" s="34" t="s">
        <v>142</v>
      </c>
    </row>
    <row r="13" spans="1:13" x14ac:dyDescent="0.3">
      <c r="A13" s="34" t="s">
        <v>143</v>
      </c>
      <c r="B13" s="33">
        <f>DATE($B$1,3,1)</f>
        <v>45352</v>
      </c>
      <c r="C13" s="33">
        <f>EOMONTH(DATE($B$1,3,1),0)</f>
        <v>45382</v>
      </c>
      <c r="M13" s="34" t="s">
        <v>144</v>
      </c>
    </row>
    <row r="14" spans="1:13" x14ac:dyDescent="0.3">
      <c r="A14" s="34" t="s">
        <v>145</v>
      </c>
      <c r="B14" s="33">
        <f>DATE($B$1,4,1)</f>
        <v>45383</v>
      </c>
      <c r="C14" s="33">
        <f>EOMONTH(DATE($B$1,4,1),0)</f>
        <v>45412</v>
      </c>
      <c r="M14" s="34" t="s">
        <v>146</v>
      </c>
    </row>
    <row r="15" spans="1:13" x14ac:dyDescent="0.3">
      <c r="A15" s="34" t="s">
        <v>147</v>
      </c>
      <c r="B15" s="33">
        <f>DATE($B$1,5,1)</f>
        <v>45413</v>
      </c>
      <c r="C15" s="33">
        <f>EOMONTH(DATE($B$1,5,1),0)</f>
        <v>45443</v>
      </c>
      <c r="M15" s="34" t="s">
        <v>148</v>
      </c>
    </row>
    <row r="16" spans="1:13" x14ac:dyDescent="0.3">
      <c r="A16" s="34" t="s">
        <v>149</v>
      </c>
      <c r="B16" s="33">
        <f>DATE($B$1,6,1)</f>
        <v>45444</v>
      </c>
      <c r="C16" s="33">
        <f>EOMONTH(DATE($B$1,6,1),0)</f>
        <v>45473</v>
      </c>
    </row>
    <row r="17" spans="1:3" x14ac:dyDescent="0.3">
      <c r="A17" s="34" t="s">
        <v>150</v>
      </c>
      <c r="B17" s="33">
        <f>DATE($B$1,7,1)</f>
        <v>45474</v>
      </c>
      <c r="C17" s="33">
        <f>EOMONTH(DATE($B$1,7,1),0)</f>
        <v>45504</v>
      </c>
    </row>
    <row r="18" spans="1:3" x14ac:dyDescent="0.3">
      <c r="A18" s="34" t="s">
        <v>151</v>
      </c>
      <c r="B18" s="33">
        <f>DATE($B$1,8,1)</f>
        <v>45505</v>
      </c>
      <c r="C18" s="33">
        <f>EOMONTH(DATE($B$1,8,1),0)</f>
        <v>45535</v>
      </c>
    </row>
    <row r="19" spans="1:3" x14ac:dyDescent="0.3">
      <c r="A19" s="34" t="s">
        <v>152</v>
      </c>
      <c r="B19" s="33">
        <f>DATE($B$1,9,1)</f>
        <v>45536</v>
      </c>
      <c r="C19" s="33">
        <f>EOMONTH(DATE($B$1,9,1),0)</f>
        <v>45565</v>
      </c>
    </row>
    <row r="20" spans="1:3" x14ac:dyDescent="0.3">
      <c r="A20" s="34" t="s">
        <v>153</v>
      </c>
      <c r="B20" s="33">
        <f>DATE($B$1,10,1)</f>
        <v>45566</v>
      </c>
      <c r="C20" s="33">
        <f>EOMONTH(DATE($B$1,10,1),0)</f>
        <v>45596</v>
      </c>
    </row>
    <row r="21" spans="1:3" x14ac:dyDescent="0.3">
      <c r="A21" s="34" t="s">
        <v>154</v>
      </c>
      <c r="B21" s="33">
        <f>DATE($B$1,11,1)</f>
        <v>45597</v>
      </c>
      <c r="C21" s="33">
        <f>EOMONTH(DATE($B$1,11,1),0)</f>
        <v>45626</v>
      </c>
    </row>
    <row r="22" spans="1:3" x14ac:dyDescent="0.3">
      <c r="A22" s="34" t="s">
        <v>155</v>
      </c>
      <c r="B22" s="33">
        <f>DATE($B$1,12,1)</f>
        <v>45627</v>
      </c>
      <c r="C22" s="33">
        <f>EOMONTH(DATE($B$1,12,1),0)</f>
        <v>45657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11</vt:i4>
      </vt:variant>
    </vt:vector>
  </HeadingPairs>
  <TitlesOfParts>
    <vt:vector size="15" baseType="lpstr">
      <vt:lpstr>Dashboard</vt:lpstr>
      <vt:lpstr>Data</vt:lpstr>
      <vt:lpstr>Calc</vt:lpstr>
      <vt:lpstr>Lists</vt:lpstr>
      <vt:lpstr>d_clk</vt:lpstr>
      <vt:lpstr>d_conv</vt:lpstr>
      <vt:lpstr>d_ctry</vt:lpstr>
      <vt:lpstr>d_date</vt:lpstr>
      <vt:lpstr>d_imp</vt:lpstr>
      <vt:lpstr>d_ind</vt:lpstr>
      <vt:lpstr>d_plat</vt:lpstr>
      <vt:lpstr>d_rev</vt:lpstr>
      <vt:lpstr>d_spend</vt:lpstr>
      <vt:lpstr>d_type</vt:lpstr>
      <vt:lpstr>Dashboard!Print_Area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jovan nono</cp:lastModifiedBy>
  <cp:revision>1</cp:revision>
  <dcterms:created xsi:type="dcterms:W3CDTF">2026-10-17T03:51:14Z</dcterms:created>
  <dcterms:modified xsi:type="dcterms:W3CDTF">2026-10-17T05:25:04Z</dcterms:modified>
  <dc:language>en-US</dc:language>
</cp:coreProperties>
</file>